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elawareconsulting-my.sharepoint.com/personal/laul_delawareconsulting_com/Documents/Documents/02. Presales/02. Supplier BTP/"/>
    </mc:Choice>
  </mc:AlternateContent>
  <xr:revisionPtr revIDLastSave="40" documentId="8_{18021F35-E004-4B8D-863E-7F8F2E6D97CA}" xr6:coauthVersionLast="47" xr6:coauthVersionMax="47" xr10:uidLastSave="{3E2A1C94-CE3C-4B0F-9B4F-5B2F382EA186}"/>
  <bookViews>
    <workbookView xWindow="-120" yWindow="-16320" windowWidth="29040" windowHeight="15720" xr2:uid="{00000000-000D-0000-FFFF-FFFF00000000}"/>
  </bookViews>
  <sheets>
    <sheet name="Sheet1" sheetId="12" r:id="rId1"/>
    <sheet name="Customer Sold-To" sheetId="6" state="hidden" r:id="rId2"/>
    <sheet name="Customer Bill-To" sheetId="11" state="hidden" r:id="rId3"/>
    <sheet name="Supplier" sheetId="1" state="hidden" r:id="rId4"/>
    <sheet name="Sheet4" sheetId="4" state="hidden" r:id="rId5"/>
    <sheet name="Sheet5" sheetId="5" state="hidden" r:id="rId6"/>
  </sheets>
  <definedNames>
    <definedName name="AE">Sheet5!$N$2:$N$5</definedName>
    <definedName name="BE">Sheet5!$G$2:$G$4</definedName>
    <definedName name="CN">Sheet5!$J$2:$J$4</definedName>
    <definedName name="CompanyCode">Sheet5!$A$2:$A$24</definedName>
    <definedName name="FR">Sheet5!$Q$2:$Q$3</definedName>
    <definedName name="HK">Sheet5!$L$2:$L$4</definedName>
    <definedName name="HU">Sheet5!$D$2:$D$5</definedName>
    <definedName name="LU">Sheet5!$I$2:$I$3</definedName>
    <definedName name="MY">Sheet5!$E$2:$E$5</definedName>
    <definedName name="NL">Sheet5!$Y$2:$Y$4</definedName>
    <definedName name="PH">Sheet5!$T$2:$T$5</definedName>
    <definedName name="SG">Sheet5!$U$2:$U$6</definedName>
    <definedName name="TW">Sheet5!$M$2</definedName>
    <definedName name="UK">Sheet5!$X$2:$X$5</definedName>
    <definedName name="US">Sheet5!$V$2:$V$6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61" i="6"/>
  <c r="D52" i="6"/>
  <c r="D13" i="1" l="1"/>
  <c r="D14" i="11"/>
  <c r="D14" i="6"/>
  <c r="D20" i="11" l="1"/>
  <c r="D20" i="6"/>
  <c r="D35" i="1" l="1"/>
  <c r="D33" i="11"/>
  <c r="D33" i="6"/>
  <c r="D19" i="1"/>
  <c r="D42" i="6" l="1"/>
  <c r="D10" i="11"/>
  <c r="D9" i="1"/>
  <c r="D10" i="6"/>
  <c r="D8" i="1" l="1"/>
  <c r="D9" i="11"/>
  <c r="D9" i="6"/>
  <c r="D56" i="1" l="1"/>
  <c r="D62" i="11"/>
  <c r="D63" i="11"/>
  <c r="D61" i="11"/>
  <c r="D52" i="11"/>
  <c r="D40" i="11"/>
  <c r="D36" i="11"/>
  <c r="D47" i="11"/>
  <c r="D8" i="11"/>
  <c r="D11" i="11"/>
  <c r="D12" i="11"/>
  <c r="D13" i="11"/>
  <c r="D15" i="11"/>
  <c r="D7" i="11"/>
  <c r="D6" i="11"/>
  <c r="D28" i="11" s="1"/>
  <c r="D63" i="6"/>
  <c r="D62" i="6"/>
  <c r="D40" i="6"/>
  <c r="D36" i="6"/>
  <c r="D8" i="6"/>
  <c r="D11" i="6"/>
  <c r="D12" i="6"/>
  <c r="D13" i="6"/>
  <c r="D15" i="6"/>
  <c r="D41" i="6" s="1"/>
  <c r="D7" i="6"/>
  <c r="D6" i="6"/>
  <c r="D28" i="6" s="1"/>
  <c r="D51" i="11" l="1"/>
  <c r="D41" i="11"/>
  <c r="D42" i="11"/>
  <c r="D23" i="1"/>
  <c r="D14" i="1" l="1"/>
  <c r="D49" i="1" s="1"/>
  <c r="D56" i="11" l="1"/>
  <c r="D40" i="1"/>
  <c r="D54" i="1" s="1"/>
  <c r="D39" i="1"/>
  <c r="D24" i="1"/>
  <c r="D25" i="1"/>
  <c r="D26" i="1"/>
  <c r="D27" i="1"/>
  <c r="D7" i="1"/>
  <c r="D10" i="1"/>
  <c r="D11" i="1"/>
  <c r="D12" i="1"/>
  <c r="D6" i="1"/>
  <c r="D46" i="1" l="1"/>
  <c r="D56" i="6"/>
  <c r="D47" i="6"/>
  <c r="D51" i="6" s="1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" i="4"/>
</calcChain>
</file>

<file path=xl/sharedStrings.xml><?xml version="1.0" encoding="utf-8"?>
<sst xmlns="http://schemas.openxmlformats.org/spreadsheetml/2006/main" count="739" uniqueCount="462">
  <si>
    <t>Business Partner Template</t>
  </si>
  <si>
    <t>*</t>
  </si>
  <si>
    <t>= Mandatory Field</t>
  </si>
  <si>
    <t>General Information</t>
  </si>
  <si>
    <t>-------------</t>
  </si>
  <si>
    <t>Address:</t>
  </si>
  <si>
    <t>Legal name</t>
  </si>
  <si>
    <t>The Kallang Group Pte Ltd</t>
  </si>
  <si>
    <t>Street 1 (max. 60 characters)</t>
  </si>
  <si>
    <t xml:space="preserve">1 Stadium Drive, </t>
  </si>
  <si>
    <t>Street 3 (max. 60 characters)</t>
  </si>
  <si>
    <t>House number</t>
  </si>
  <si>
    <t>-</t>
  </si>
  <si>
    <t>Postal Code</t>
  </si>
  <si>
    <t>397629</t>
  </si>
  <si>
    <t>City</t>
  </si>
  <si>
    <t>Singapore</t>
  </si>
  <si>
    <t>Region</t>
  </si>
  <si>
    <t>Country (ISO-code)</t>
  </si>
  <si>
    <t>SG: Singapore</t>
  </si>
  <si>
    <t>Contact email address</t>
  </si>
  <si>
    <t>Contact number</t>
  </si>
  <si>
    <t>Identification:</t>
  </si>
  <si>
    <t>UEN</t>
  </si>
  <si>
    <t>202235440C</t>
  </si>
  <si>
    <t>Bank Information:</t>
  </si>
  <si>
    <t>Always choose one of these options!</t>
  </si>
  <si>
    <t>SWIFT Code (non-European countries)</t>
  </si>
  <si>
    <t xml:space="preserve">E.g.: US Bank account </t>
  </si>
  <si>
    <r>
      <t xml:space="preserve">SWIFT Code: </t>
    </r>
    <r>
      <rPr>
        <sz val="11"/>
        <color theme="1"/>
        <rFont val="Calibri"/>
        <family val="2"/>
        <scheme val="minor"/>
      </rPr>
      <t>BOFAUS3NXXX</t>
    </r>
  </si>
  <si>
    <t>Bank Account</t>
  </si>
  <si>
    <r>
      <t xml:space="preserve">Bank account: </t>
    </r>
    <r>
      <rPr>
        <sz val="11"/>
        <color theme="1"/>
        <rFont val="Calibri"/>
        <family val="2"/>
        <scheme val="minor"/>
      </rPr>
      <t>1499813713</t>
    </r>
  </si>
  <si>
    <t>Business Partner</t>
  </si>
  <si>
    <t>Title</t>
  </si>
  <si>
    <t>Company</t>
  </si>
  <si>
    <t>Search Term</t>
  </si>
  <si>
    <t>Name</t>
  </si>
  <si>
    <t>Street 1</t>
  </si>
  <si>
    <t>Street 2</t>
  </si>
  <si>
    <t>Street 3</t>
  </si>
  <si>
    <t>Language</t>
  </si>
  <si>
    <t>English</t>
  </si>
  <si>
    <t>Tax number</t>
  </si>
  <si>
    <t>Customer</t>
  </si>
  <si>
    <t>Customer: General Data</t>
  </si>
  <si>
    <t>Group</t>
  </si>
  <si>
    <t>Customer - Sales and Distribution</t>
  </si>
  <si>
    <t>Sales Organization</t>
  </si>
  <si>
    <t>Orders</t>
  </si>
  <si>
    <t>Currency</t>
  </si>
  <si>
    <t>Billing</t>
  </si>
  <si>
    <t>Terms of payment</t>
  </si>
  <si>
    <t>Account Assignment</t>
  </si>
  <si>
    <t>Tax Classification</t>
  </si>
  <si>
    <t>Customer (Fin. Accounting) - Company code</t>
  </si>
  <si>
    <t>Company code</t>
  </si>
  <si>
    <t>Customer: Account Management</t>
  </si>
  <si>
    <t>Reconciliation Account</t>
  </si>
  <si>
    <t>Sort Key</t>
  </si>
  <si>
    <t>Customer: Payment Transactions</t>
  </si>
  <si>
    <t>Record Payment History</t>
  </si>
  <si>
    <t>X</t>
  </si>
  <si>
    <t>Customer: Correspondence</t>
  </si>
  <si>
    <t>Dunning Procedure</t>
  </si>
  <si>
    <t>Dunning Clerk</t>
  </si>
  <si>
    <t>Accounting Clerk</t>
  </si>
  <si>
    <t>Country</t>
  </si>
  <si>
    <t>Bank Key</t>
  </si>
  <si>
    <t>OR</t>
  </si>
  <si>
    <t>IBAN</t>
  </si>
  <si>
    <t>Supplier - Purchasing View</t>
  </si>
  <si>
    <t>Purchasing organization</t>
  </si>
  <si>
    <t>Purchasing Data</t>
  </si>
  <si>
    <t>Order Currency</t>
  </si>
  <si>
    <t>Terms of Payment</t>
  </si>
  <si>
    <t>Supplier (Fin. Accounting) - Company Code</t>
  </si>
  <si>
    <t>Company Code</t>
  </si>
  <si>
    <t>Vendor: Account Management</t>
  </si>
  <si>
    <t>Vendor: Payment Transactions</t>
  </si>
  <si>
    <t>Check Double Invoice</t>
  </si>
  <si>
    <t>Payment Method</t>
  </si>
  <si>
    <t>TWD</t>
  </si>
  <si>
    <t>AD: Andorra</t>
  </si>
  <si>
    <t>HU20</t>
  </si>
  <si>
    <t>MY10/MY20</t>
  </si>
  <si>
    <t>BE10/BE20/LU10</t>
  </si>
  <si>
    <t>AE10 - DME</t>
  </si>
  <si>
    <t>EUR</t>
  </si>
  <si>
    <t>AE: United Arab Emirates</t>
  </si>
  <si>
    <t>A</t>
  </si>
  <si>
    <t>Bank transfer (HUF)</t>
  </si>
  <si>
    <t>C</t>
  </si>
  <si>
    <t>Check</t>
  </si>
  <si>
    <t>I</t>
  </si>
  <si>
    <t>Credit Transfer</t>
  </si>
  <si>
    <t>BE10 -DCI</t>
  </si>
  <si>
    <t>USD</t>
  </si>
  <si>
    <t>AF: Afghanistan</t>
  </si>
  <si>
    <t>T</t>
  </si>
  <si>
    <t>SEPA credit transfer</t>
  </si>
  <si>
    <t>F</t>
  </si>
  <si>
    <t>Foreign</t>
  </si>
  <si>
    <t>SEPA Credit transfer</t>
  </si>
  <si>
    <t>BE20 -DBE</t>
  </si>
  <si>
    <t>CNY</t>
  </si>
  <si>
    <t>AG: Antigua and Barbuda</t>
  </si>
  <si>
    <t>ISO: Credit Transfer</t>
  </si>
  <si>
    <t>Foreign Payment</t>
  </si>
  <si>
    <t>BR10 -DBR</t>
  </si>
  <si>
    <t>PHP</t>
  </si>
  <si>
    <t>AI: Anguilla</t>
  </si>
  <si>
    <t>Bank transfer (foreign courrency)</t>
  </si>
  <si>
    <t>Bank Transfer</t>
  </si>
  <si>
    <t>CN10 - DCH</t>
  </si>
  <si>
    <t>SGD</t>
  </si>
  <si>
    <t>AL: Albania</t>
  </si>
  <si>
    <t>CN20 - DHA</t>
  </si>
  <si>
    <t>AED</t>
  </si>
  <si>
    <t>AM: Armenia</t>
  </si>
  <si>
    <t>CN10</t>
  </si>
  <si>
    <t>HK10</t>
  </si>
  <si>
    <t>TW10</t>
  </si>
  <si>
    <t>FR10 -DFR</t>
  </si>
  <si>
    <t>HUF</t>
  </si>
  <si>
    <t>AO: Angola</t>
  </si>
  <si>
    <t>Cheque</t>
  </si>
  <si>
    <t>ISO Pain Credit Transfer</t>
  </si>
  <si>
    <t>FR20 - DFN</t>
  </si>
  <si>
    <t>MYR</t>
  </si>
  <si>
    <t>AQ: Antarctica</t>
  </si>
  <si>
    <t>FR30 - DFO</t>
  </si>
  <si>
    <t>BRL</t>
  </si>
  <si>
    <t>AR: Argentina</t>
  </si>
  <si>
    <t>FR40 - DFI</t>
  </si>
  <si>
    <t>HKD</t>
  </si>
  <si>
    <t>AS: American Samoa</t>
  </si>
  <si>
    <t>FR50 - DIS</t>
  </si>
  <si>
    <t>GBP</t>
  </si>
  <si>
    <t>AT: Austria</t>
  </si>
  <si>
    <t>HK10 - DHK</t>
  </si>
  <si>
    <r>
      <t xml:space="preserve">Customer (Sold-To </t>
    </r>
    <r>
      <rPr>
        <sz val="9"/>
        <rFont val="Calibri"/>
        <family val="2"/>
      </rPr>
      <t>≠</t>
    </r>
    <r>
      <rPr>
        <sz val="9"/>
        <rFont val="Verdana"/>
        <family val="2"/>
      </rPr>
      <t xml:space="preserve"> Bill-To)</t>
    </r>
  </si>
  <si>
    <t>AU: Australia</t>
  </si>
  <si>
    <t>AE10</t>
  </si>
  <si>
    <t>FR10</t>
  </si>
  <si>
    <t>FR20</t>
  </si>
  <si>
    <t>FR30</t>
  </si>
  <si>
    <t>HU20 -DHU</t>
  </si>
  <si>
    <t>Customer (Sold-To = Bill-To)</t>
  </si>
  <si>
    <t>AW: Aruba</t>
  </si>
  <si>
    <t>LU10 - DLU</t>
  </si>
  <si>
    <t>Supplier</t>
  </si>
  <si>
    <t>AX: Ãland Islands</t>
  </si>
  <si>
    <t>SEPA Credit Transfer</t>
  </si>
  <si>
    <t>NL10 - DNL</t>
  </si>
  <si>
    <t>AZ: Azerbaijan</t>
  </si>
  <si>
    <t>FR40</t>
  </si>
  <si>
    <t>FR50</t>
  </si>
  <si>
    <t>MY10 - DMS</t>
  </si>
  <si>
    <t>Yes</t>
  </si>
  <si>
    <t>BA: Bosnia and Herzegovina</t>
  </si>
  <si>
    <t>Bank Transfer outgoing</t>
  </si>
  <si>
    <t>MY20 - DMY</t>
  </si>
  <si>
    <t>No</t>
  </si>
  <si>
    <t>BB: Barbados</t>
  </si>
  <si>
    <t>PH10 - DPH</t>
  </si>
  <si>
    <t>BD: Bangladesh</t>
  </si>
  <si>
    <t>PH10</t>
  </si>
  <si>
    <t>SG10</t>
  </si>
  <si>
    <t>US10</t>
  </si>
  <si>
    <t>US20</t>
  </si>
  <si>
    <t>SG10 - DAP</t>
  </si>
  <si>
    <t>BE: Belgium</t>
  </si>
  <si>
    <t>D</t>
  </si>
  <si>
    <t>Bank Transfer (ACH CCD)</t>
  </si>
  <si>
    <t>TW10 - DTW</t>
  </si>
  <si>
    <t>BF: Burkina Faso</t>
  </si>
  <si>
    <t>UK10 - DUK</t>
  </si>
  <si>
    <t>BG: Bulgaria</t>
  </si>
  <si>
    <t>CGI Credit Trans</t>
  </si>
  <si>
    <t>US10 - DUS</t>
  </si>
  <si>
    <t>BH: Bahrain</t>
  </si>
  <si>
    <t>Bank Transfer Domestic</t>
  </si>
  <si>
    <t>P</t>
  </si>
  <si>
    <t>Bank Transfer (ACH PPD)</t>
  </si>
  <si>
    <t>US20 - DNA</t>
  </si>
  <si>
    <t>BI: Burundi</t>
  </si>
  <si>
    <t>Cash payment</t>
  </si>
  <si>
    <t>Bank Transfer (ACH CTX)</t>
  </si>
  <si>
    <t>BJ: Benin</t>
  </si>
  <si>
    <t>UK10</t>
  </si>
  <si>
    <t>BL: Saint BarthÃ©lemy</t>
  </si>
  <si>
    <t>NL10</t>
  </si>
  <si>
    <t>CN20</t>
  </si>
  <si>
    <t>BM: Bermuda</t>
  </si>
  <si>
    <t>B</t>
  </si>
  <si>
    <t>Bank Transfer (BACS)</t>
  </si>
  <si>
    <t>Foreign bank transfer</t>
  </si>
  <si>
    <t>BN: Brunei Darussalam</t>
  </si>
  <si>
    <t>Foreign Transfer</t>
  </si>
  <si>
    <t>BO: Bolivia, Plurinational State of</t>
  </si>
  <si>
    <t>BQ: Bonaire Sint Eustatius and Saba</t>
  </si>
  <si>
    <t>BR: Brazil</t>
  </si>
  <si>
    <t>BS: Bahamas</t>
  </si>
  <si>
    <t>BT: Bhutan</t>
  </si>
  <si>
    <t>Payment terms</t>
  </si>
  <si>
    <t>BV: Bouvet Island</t>
  </si>
  <si>
    <t>NT00: payable immediately due net</t>
  </si>
  <si>
    <t>0: Tax Exempt</t>
  </si>
  <si>
    <t>BW: Botswana</t>
  </si>
  <si>
    <t>NT07: within 7 days due net</t>
  </si>
  <si>
    <t>1: Liable for taxes</t>
  </si>
  <si>
    <t>BY: Belarus</t>
  </si>
  <si>
    <t>NT08: within 8 days due net</t>
  </si>
  <si>
    <t>BZ: Belize</t>
  </si>
  <si>
    <t>NT14: within 14 days due net</t>
  </si>
  <si>
    <t>CA: Canada</t>
  </si>
  <si>
    <t>NT15: within 15 days due net</t>
  </si>
  <si>
    <t>CC: Cocos (Keeling) Islands</t>
  </si>
  <si>
    <t>NT25: within 25 days due net</t>
  </si>
  <si>
    <t>CD: Congo, the Democratic Republic of the</t>
  </si>
  <si>
    <t>NT30: within 30 days due net</t>
  </si>
  <si>
    <t>CF: Central African Republic</t>
  </si>
  <si>
    <t>NT45: within 45 days due net</t>
  </si>
  <si>
    <t>CG: Congo</t>
  </si>
  <si>
    <t>NT60: within 60 days due net</t>
  </si>
  <si>
    <t>CH: Switzerland</t>
  </si>
  <si>
    <t>NT90: within 90 days due net</t>
  </si>
  <si>
    <t>CI: CÃ´te d'Ivoire</t>
  </si>
  <si>
    <t>N120: within 120 days due net</t>
  </si>
  <si>
    <t>CK: Cook Islands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</si>
  <si>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</si>
  <si>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</si>
  <si>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</si>
  <si>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</si>
  <si>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</si>
  <si>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</si>
  <si>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</si>
  <si>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CW: CuraÃ§ao</t>
  </si>
  <si>
    <t>CX: Christmas Island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</si>
  <si>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</si>
  <si>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</si>
  <si>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</si>
  <si>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</si>
  <si>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</si>
  <si>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</si>
  <si>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</si>
  <si>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</si>
  <si>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</si>
  <si>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</si>
  <si>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</si>
  <si>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</si>
  <si>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ER: Eritrea</t>
  </si>
  <si>
    <t>ES: Spain</t>
  </si>
  <si>
    <t>ET: Ethiopia</t>
  </si>
  <si>
    <t>FI: Finland</t>
  </si>
  <si>
    <t>FJ: Fiji</t>
  </si>
  <si>
    <t>FK: Falkland Islands (Malvinas)</t>
  </si>
  <si>
    <t>FM: Micronesia, Federated States of</t>
  </si>
  <si>
    <t>FO: Faroe Islands</t>
  </si>
  <si>
    <t>FR: France</t>
  </si>
  <si>
    <t>GA: Gabon</t>
  </si>
  <si>
    <t>GB: United Kingdom</t>
  </si>
  <si>
    <t>GD: Grenada</t>
  </si>
  <si>
    <t>GE: Georgia</t>
  </si>
  <si>
    <t>GF: French Guiana</t>
  </si>
  <si>
    <t>GG: Guernsey</t>
  </si>
  <si>
    <t>GH: Ghana</t>
  </si>
  <si>
    <t>GI: Gibraltar</t>
  </si>
  <si>
    <t>GL: Greenland</t>
  </si>
  <si>
    <t>GM: Gambia</t>
  </si>
  <si>
    <t>GN: Guinea</t>
  </si>
  <si>
    <t>GP: Guadeloupe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</si>
  <si>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</si>
  <si>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</si>
  <si>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</si>
  <si>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</si>
  <si>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</si>
  <si>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</si>
  <si>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GY: Guyana</t>
  </si>
  <si>
    <t>HK: Hong Kong</t>
  </si>
  <si>
    <t>HM: Heard Island and McDonald Islands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</si>
  <si>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</si>
  <si>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</si>
  <si>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</si>
  <si>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</si>
  <si>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</si>
  <si>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</si>
  <si>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</si>
  <si>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IM: Isle of Man</t>
  </si>
  <si>
    <t>IN: India</t>
  </si>
  <si>
    <t>IO: British Indian Ocean Territory</t>
  </si>
  <si>
    <t>IQ: Iraq</t>
  </si>
  <si>
    <t>IR: Iran, Islamic Republic of</t>
  </si>
  <si>
    <t>IS: Iceland</t>
  </si>
  <si>
    <t>IT: Italy</t>
  </si>
  <si>
    <t>JE: Jersey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</si>
  <si>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</si>
  <si>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</si>
  <si>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</si>
  <si>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</si>
  <si>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</si>
  <si>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</si>
  <si>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</si>
  <si>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</si>
  <si>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KN: Saint Kitts and Nevis</t>
  </si>
  <si>
    <t>KP: Korea, Democratic People's Republic of</t>
  </si>
  <si>
    <t>KR: Korea, Republic of</t>
  </si>
  <si>
    <t>KW: Kuwait</t>
  </si>
  <si>
    <t>KY: Cayman Islands</t>
  </si>
  <si>
    <t>KZ: Kazakhstan</t>
  </si>
  <si>
    <t>LA: Lao, People's Democratic Republic</t>
  </si>
  <si>
    <t>LB: Lebanon</t>
  </si>
  <si>
    <t>LC: Saint Lucia</t>
  </si>
  <si>
    <t>LI: Liechtenstein</t>
  </si>
  <si>
    <t>LK: Sri Lanka</t>
  </si>
  <si>
    <t>LR: Liberia</t>
  </si>
  <si>
    <t>LS: Lesotho</t>
  </si>
  <si>
    <t>LT: Lithuania</t>
  </si>
  <si>
    <t>LU: Luxembourg</t>
  </si>
  <si>
    <t>LV: Latvia</t>
  </si>
  <si>
    <t>LY: Libya</t>
  </si>
  <si>
    <t>MA: Morocco</t>
  </si>
  <si>
    <t>MC: Monaco</t>
  </si>
  <si>
    <t>MD: Moldova, Republic of</t>
  </si>
  <si>
    <t>ME: Montenegro</t>
  </si>
  <si>
    <t>MF: Saint Martin (French part)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</si>
  <si>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</si>
  <si>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</si>
  <si>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</si>
  <si>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</si>
  <si>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</si>
  <si>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</si>
  <si>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</si>
  <si>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MP: Northern Mariana Islands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</si>
  <si>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</si>
  <si>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</si>
  <si>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</si>
  <si>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</si>
  <si>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</si>
  <si>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</si>
  <si>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</si>
  <si>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</si>
  <si>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</si>
  <si>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</si>
  <si>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</si>
  <si>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</si>
  <si>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</si>
  <si>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</si>
  <si>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</si>
  <si>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</si>
  <si>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</si>
  <si>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</si>
  <si>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</si>
  <si>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NR: Nauru</t>
  </si>
  <si>
    <t>NU: Niue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</si>
  <si>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</si>
  <si>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</si>
  <si>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</si>
  <si>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</si>
  <si>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</si>
  <si>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</si>
  <si>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</si>
  <si>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</si>
  <si>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</si>
  <si>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PM: Saint Pierre and Miquelon</t>
  </si>
  <si>
    <t>PN: Pitcairn</t>
  </si>
  <si>
    <t>PR: Puerto Rico</t>
  </si>
  <si>
    <t>PS: Palestine, State of</t>
  </si>
  <si>
    <t>PT: Portugal</t>
  </si>
  <si>
    <t>PW: Palau</t>
  </si>
  <si>
    <t>PY: Paraguay</t>
  </si>
  <si>
    <t>QA: Qatar</t>
  </si>
  <si>
    <t>RE: Réunion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</si>
  <si>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</si>
  <si>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</si>
  <si>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</si>
  <si>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</si>
  <si>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</si>
  <si>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</si>
  <si>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</si>
  <si>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</si>
  <si>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</si>
  <si>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SH: Saint Helena Ascension and Tristan da Cunha</t>
  </si>
  <si>
    <t>SI: Slovenia</t>
  </si>
  <si>
    <t>SJ: Svalbard and Jan Mayen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</si>
  <si>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</si>
  <si>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</si>
  <si>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</si>
  <si>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</si>
  <si>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</si>
  <si>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</si>
  <si>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</si>
  <si>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ST: Sao Tome and Principe</t>
  </si>
  <si>
    <t>SV: El Salvador</t>
  </si>
  <si>
    <t>SX: Sint Maarten (Dutch part)</t>
  </si>
  <si>
    <t>SY: Syrian Arab Republic</t>
  </si>
  <si>
    <t>SZ: Swaziland</t>
  </si>
  <si>
    <t>TC: Turks and Caicos Islands</t>
  </si>
  <si>
    <t>TD: Chad</t>
  </si>
  <si>
    <t>TF: French Southern Territories</t>
  </si>
  <si>
    <t>TG: Togo</t>
  </si>
  <si>
    <t>TH: Thailand</t>
  </si>
  <si>
    <t>TJ: Tajikistan</t>
  </si>
  <si>
    <t>TK: Tokelau</t>
  </si>
  <si>
    <t>TL: Timor-Leste</t>
  </si>
  <si>
    <t>TM: Turkmenistan</t>
  </si>
  <si>
    <t>TN: Tunisia</t>
  </si>
  <si>
    <t>TO: Tonga</t>
  </si>
  <si>
    <t>TR: Turkey</t>
  </si>
  <si>
    <t>TT: Trinidad and Tobago</t>
  </si>
  <si>
    <t>TV: Tuvalu</t>
  </si>
  <si>
    <t>TW: Taiwan Province of China</t>
  </si>
  <si>
    <t>TZ: Tanzania United Republic of</t>
  </si>
  <si>
    <t>UA: Ukraine</t>
  </si>
  <si>
    <t>UG: Uganda</t>
  </si>
  <si>
    <t>UM: United States Minor Outlying Islands</t>
  </si>
  <si>
    <t>US: United States</t>
  </si>
  <si>
    <t>UY: Uruguay</t>
  </si>
  <si>
    <t>UZ: Uzbekistan</t>
  </si>
  <si>
    <t>VA: Holy See (Vatican City State)</t>
  </si>
  <si>
    <t>VC: Saint Vincent and the Grenadines</t>
  </si>
  <si>
    <t>VE: Venezuela, Bolivarian Republic of</t>
  </si>
  <si>
    <t>VG: Virgin Islands British</t>
  </si>
  <si>
    <t>VI: Virgin Islands U.S.</t>
  </si>
  <si>
    <t>VN: Viet Nam</t>
  </si>
  <si>
    <t>VU: Vanuatu</t>
  </si>
  <si>
    <t>WF: Wallis and Futuna</t>
  </si>
  <si>
    <t>WS: Samoa</t>
  </si>
  <si>
    <t>YE: Yemen</t>
  </si>
  <si>
    <t>YT: Mayotte</t>
  </si>
  <si>
    <t>ZA: South Africa</t>
  </si>
  <si>
    <t>ZM: Zambia</t>
  </si>
  <si>
    <t>ZW: Zimbabwe</t>
  </si>
  <si>
    <t>MY10</t>
  </si>
  <si>
    <t>MY20</t>
  </si>
  <si>
    <t>BE10</t>
  </si>
  <si>
    <t>BE20</t>
  </si>
  <si>
    <t>LU10</t>
  </si>
  <si>
    <t>A: Bank transfer (HUF)</t>
  </si>
  <si>
    <t>C: Check</t>
  </si>
  <si>
    <t>I: Credit Transfer</t>
  </si>
  <si>
    <t>C: Cheque</t>
  </si>
  <si>
    <t>F: Bank transfer Foreign</t>
  </si>
  <si>
    <t>I: ISO Pain Credit Transfer</t>
  </si>
  <si>
    <t>F: Bank transfer (foreign courrency)</t>
  </si>
  <si>
    <t>I: ISO: Credit Transfer</t>
  </si>
  <si>
    <t>D: Bank Transfer (ACH CCD)</t>
  </si>
  <si>
    <t>F: Foreign bank transfer</t>
  </si>
  <si>
    <t>T: SEPA credit transfer</t>
  </si>
  <si>
    <t>F: Foreign Payment</t>
  </si>
  <si>
    <t>T: SEPA Credit transfer</t>
  </si>
  <si>
    <t>T: SEPA Credit Transfer</t>
  </si>
  <si>
    <t>B: Bank Transfer (BACS)</t>
  </si>
  <si>
    <t>T: Bank Transfer</t>
  </si>
  <si>
    <t>I: CGI Credit Trans</t>
  </si>
  <si>
    <t>F: Foreign Transfer</t>
  </si>
  <si>
    <t>BR10</t>
  </si>
  <si>
    <t>T: Bank Transfer outgoing</t>
  </si>
  <si>
    <t>T: Bank Transfer Domestic</t>
  </si>
  <si>
    <t>P: Bank Transfer (ACH PPD)</t>
  </si>
  <si>
    <t>X: Cash payment</t>
  </si>
  <si>
    <t>T: Bank Transfer (ACH CTX)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</si>
</sst>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u/>
      <sz val="9"/>
      <name val="Verdan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u/>
      <sz val="11"/>
      <color indexed="8"/>
      <name val="Calibri"/>
      <family val="2"/>
    </font>
    <font>
      <b/>
      <u/>
      <sz val="14"/>
      <name val="Calibri"/>
      <family val="2"/>
      <scheme val="minor"/>
    </font>
    <font>
      <b/>
      <u/>
      <sz val="20"/>
      <name val="Calibri"/>
      <family val="2"/>
      <scheme val="minor"/>
    </font>
    <font>
      <sz val="1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2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/>
    <xf numFmtId="0" fontId="22" fillId="0" borderId="0"/>
    <xf numFmtId="0" fontId="2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4">
    <xf numFmtId="0" fontId="0" fillId="0" borderId="0" xfId="0"/>
    <xf numFmtId="0" fontId="15" fillId="0" borderId="0" xfId="0" applyFont="1"/>
    <xf numFmtId="0" fontId="17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7" fillId="33" borderId="0" xfId="35" applyFont="1" applyFill="1"/>
    <xf numFmtId="0" fontId="1" fillId="0" borderId="0" xfId="57"/>
    <xf numFmtId="0" fontId="25" fillId="33" borderId="0" xfId="35" applyFill="1"/>
    <xf numFmtId="0" fontId="28" fillId="35" borderId="12" xfId="0" applyFont="1" applyFill="1" applyBorder="1"/>
    <xf numFmtId="0" fontId="20" fillId="35" borderId="0" xfId="0" applyFont="1" applyFill="1"/>
    <xf numFmtId="0" fontId="0" fillId="35" borderId="0" xfId="0" applyFill="1"/>
    <xf numFmtId="0" fontId="0" fillId="35" borderId="14" xfId="0" applyFill="1" applyBorder="1"/>
    <xf numFmtId="0" fontId="0" fillId="35" borderId="13" xfId="0" applyFill="1" applyBorder="1"/>
    <xf numFmtId="0" fontId="18" fillId="35" borderId="0" xfId="0" applyFont="1" applyFill="1"/>
    <xf numFmtId="0" fontId="28" fillId="35" borderId="0" xfId="0" applyFont="1" applyFill="1"/>
    <xf numFmtId="0" fontId="29" fillId="34" borderId="10" xfId="0" applyFont="1" applyFill="1" applyBorder="1"/>
    <xf numFmtId="0" fontId="29" fillId="34" borderId="11" xfId="0" applyFont="1" applyFill="1" applyBorder="1"/>
    <xf numFmtId="0" fontId="18" fillId="35" borderId="0" xfId="0" applyFont="1" applyFill="1" applyAlignment="1">
      <alignment horizontal="left" indent="5"/>
    </xf>
    <xf numFmtId="0" fontId="30" fillId="35" borderId="0" xfId="0" applyFont="1" applyFill="1"/>
    <xf numFmtId="0" fontId="15" fillId="35" borderId="0" xfId="0" applyFont="1" applyFill="1"/>
    <xf numFmtId="0" fontId="0" fillId="35" borderId="0" xfId="0" quotePrefix="1" applyFill="1"/>
    <xf numFmtId="0" fontId="31" fillId="35" borderId="0" xfId="0" applyFont="1" applyFill="1"/>
    <xf numFmtId="0" fontId="31" fillId="34" borderId="0" xfId="0" applyFont="1" applyFill="1"/>
    <xf numFmtId="0" fontId="0" fillId="35" borderId="15" xfId="0" applyFill="1" applyBorder="1"/>
    <xf numFmtId="0" fontId="0" fillId="34" borderId="0" xfId="0" applyFill="1"/>
    <xf numFmtId="0" fontId="32" fillId="34" borderId="0" xfId="0" applyFont="1" applyFill="1"/>
    <xf numFmtId="0" fontId="0" fillId="35" borderId="15" xfId="0" quotePrefix="1" applyFill="1" applyBorder="1"/>
    <xf numFmtId="0" fontId="19" fillId="35" borderId="0" xfId="0" applyFont="1" applyFill="1"/>
    <xf numFmtId="0" fontId="19" fillId="36" borderId="0" xfId="0" applyFont="1" applyFill="1"/>
    <xf numFmtId="0" fontId="0" fillId="36" borderId="0" xfId="0" applyFill="1"/>
    <xf numFmtId="0" fontId="20" fillId="36" borderId="0" xfId="0" applyFont="1" applyFill="1"/>
    <xf numFmtId="0" fontId="0" fillId="35" borderId="14" xfId="0" quotePrefix="1" applyFill="1" applyBorder="1"/>
    <xf numFmtId="0" fontId="0" fillId="36" borderId="0" xfId="0" quotePrefix="1" applyFill="1"/>
    <xf numFmtId="0" fontId="13" fillId="35" borderId="0" xfId="0" applyFont="1" applyFill="1"/>
    <xf numFmtId="0" fontId="0" fillId="35" borderId="14" xfId="0" applyFill="1" applyBorder="1" applyAlignment="1">
      <alignment horizontal="left"/>
    </xf>
    <xf numFmtId="0" fontId="0" fillId="35" borderId="0" xfId="0" applyFill="1" applyAlignment="1">
      <alignment horizontal="left"/>
    </xf>
    <xf numFmtId="0" fontId="31" fillId="37" borderId="0" xfId="0" applyFont="1" applyFill="1" applyAlignment="1">
      <alignment horizontal="left"/>
    </xf>
    <xf numFmtId="0" fontId="33" fillId="37" borderId="0" xfId="0" applyFont="1" applyFill="1"/>
    <xf numFmtId="0" fontId="36" fillId="35" borderId="0" xfId="0" applyFont="1" applyFill="1"/>
    <xf numFmtId="0" fontId="34" fillId="35" borderId="0" xfId="0" applyFont="1" applyFill="1"/>
    <xf numFmtId="0" fontId="29" fillId="34" borderId="0" xfId="0" applyFont="1" applyFill="1"/>
    <xf numFmtId="0" fontId="29" fillId="34" borderId="0" xfId="0" applyFont="1" applyFill="1" applyAlignment="1">
      <alignment horizontal="left"/>
    </xf>
    <xf numFmtId="0" fontId="33" fillId="35" borderId="0" xfId="0" applyFont="1" applyFill="1"/>
    <xf numFmtId="0" fontId="31" fillId="35" borderId="0" xfId="0" applyFont="1" applyFill="1" applyAlignment="1">
      <alignment horizontal="left"/>
    </xf>
    <xf numFmtId="0" fontId="0" fillId="35" borderId="0" xfId="0" quotePrefix="1" applyFill="1" applyAlignment="1">
      <alignment horizontal="left" indent="2"/>
    </xf>
    <xf numFmtId="0" fontId="0" fillId="35" borderId="14" xfId="0" applyFill="1" applyBorder="1" applyAlignment="1" applyProtection="1">
      <alignment horizontal="left"/>
      <protection locked="0"/>
    </xf>
    <xf numFmtId="49" fontId="0" fillId="35" borderId="14" xfId="0" applyNumberFormat="1" applyFill="1" applyBorder="1" applyAlignment="1" applyProtection="1">
      <alignment horizontal="left"/>
      <protection locked="0"/>
    </xf>
    <xf numFmtId="49" fontId="0" fillId="35" borderId="14" xfId="0" quotePrefix="1" applyNumberFormat="1" applyFill="1" applyBorder="1" applyAlignment="1" applyProtection="1">
      <alignment horizontal="left"/>
      <protection locked="0"/>
    </xf>
    <xf numFmtId="0" fontId="0" fillId="35" borderId="0" xfId="0" applyFill="1" applyAlignment="1" applyProtection="1">
      <alignment horizontal="left"/>
      <protection locked="0"/>
    </xf>
    <xf numFmtId="49" fontId="0" fillId="35" borderId="0" xfId="0" quotePrefix="1" applyNumberFormat="1" applyFill="1" applyAlignment="1" applyProtection="1">
      <alignment horizontal="left"/>
      <protection locked="0"/>
    </xf>
    <xf numFmtId="49" fontId="0" fillId="35" borderId="0" xfId="0" applyNumberFormat="1" applyFill="1" applyAlignment="1" applyProtection="1">
      <alignment horizontal="left"/>
      <protection locked="0"/>
    </xf>
    <xf numFmtId="0" fontId="19" fillId="36" borderId="0" xfId="0" applyFont="1" applyFill="1" applyAlignment="1">
      <alignment horizontal="left"/>
    </xf>
    <xf numFmtId="0" fontId="19" fillId="35" borderId="0" xfId="0" applyFont="1" applyFill="1" applyAlignment="1">
      <alignment horizontal="left"/>
    </xf>
  </cellXfs>
  <cellStyles count="71">
    <cellStyle name="20% - Accent1" xfId="18" builtinId="30" customBuiltin="1"/>
    <cellStyle name="20% - Accent1 2" xfId="45" xr:uid="{00000000-0005-0000-0000-000001000000}"/>
    <cellStyle name="20% - Accent1 3" xfId="59" xr:uid="{00000000-0005-0000-0000-000002000000}"/>
    <cellStyle name="20% - Accent2" xfId="21" builtinId="34" customBuiltin="1"/>
    <cellStyle name="20% - Accent2 2" xfId="47" xr:uid="{00000000-0005-0000-0000-000004000000}"/>
    <cellStyle name="20% - Accent2 3" xfId="61" xr:uid="{00000000-0005-0000-0000-000005000000}"/>
    <cellStyle name="20% - Accent3" xfId="24" builtinId="38" customBuiltin="1"/>
    <cellStyle name="20% - Accent3 2" xfId="49" xr:uid="{00000000-0005-0000-0000-000007000000}"/>
    <cellStyle name="20% - Accent3 3" xfId="63" xr:uid="{00000000-0005-0000-0000-000008000000}"/>
    <cellStyle name="20% - Accent4" xfId="27" builtinId="42" customBuiltin="1"/>
    <cellStyle name="20% - Accent4 2" xfId="51" xr:uid="{00000000-0005-0000-0000-00000A000000}"/>
    <cellStyle name="20% - Accent4 3" xfId="65" xr:uid="{00000000-0005-0000-0000-00000B000000}"/>
    <cellStyle name="20% - Accent5" xfId="30" builtinId="46" customBuiltin="1"/>
    <cellStyle name="20% - Accent5 2" xfId="53" xr:uid="{00000000-0005-0000-0000-00000D000000}"/>
    <cellStyle name="20% - Accent5 3" xfId="67" xr:uid="{00000000-0005-0000-0000-00000E000000}"/>
    <cellStyle name="20% - Accent6" xfId="33" builtinId="50" customBuiltin="1"/>
    <cellStyle name="20% - Accent6 2" xfId="55" xr:uid="{00000000-0005-0000-0000-000010000000}"/>
    <cellStyle name="20% - Accent6 3" xfId="69" xr:uid="{00000000-0005-0000-0000-000011000000}"/>
    <cellStyle name="40% - Accent1" xfId="19" builtinId="31" customBuiltin="1"/>
    <cellStyle name="40% - Accent1 2" xfId="46" xr:uid="{00000000-0005-0000-0000-000013000000}"/>
    <cellStyle name="40% - Accent1 3" xfId="60" xr:uid="{00000000-0005-0000-0000-000014000000}"/>
    <cellStyle name="40% - Accent2" xfId="22" builtinId="35" customBuiltin="1"/>
    <cellStyle name="40% - Accent2 2" xfId="48" xr:uid="{00000000-0005-0000-0000-000016000000}"/>
    <cellStyle name="40% - Accent2 3" xfId="62" xr:uid="{00000000-0005-0000-0000-000017000000}"/>
    <cellStyle name="40% - Accent3" xfId="25" builtinId="39" customBuiltin="1"/>
    <cellStyle name="40% - Accent3 2" xfId="50" xr:uid="{00000000-0005-0000-0000-000019000000}"/>
    <cellStyle name="40% - Accent3 3" xfId="64" xr:uid="{00000000-0005-0000-0000-00001A000000}"/>
    <cellStyle name="40% - Accent4" xfId="28" builtinId="43" customBuiltin="1"/>
    <cellStyle name="40% - Accent4 2" xfId="52" xr:uid="{00000000-0005-0000-0000-00001C000000}"/>
    <cellStyle name="40% - Accent4 3" xfId="66" xr:uid="{00000000-0005-0000-0000-00001D000000}"/>
    <cellStyle name="40% - Accent5" xfId="31" builtinId="47" customBuiltin="1"/>
    <cellStyle name="40% - Accent5 2" xfId="54" xr:uid="{00000000-0005-0000-0000-00001F000000}"/>
    <cellStyle name="40% - Accent5 3" xfId="68" xr:uid="{00000000-0005-0000-0000-000020000000}"/>
    <cellStyle name="40% - Accent6" xfId="34" builtinId="51" customBuiltin="1"/>
    <cellStyle name="40% - Accent6 2" xfId="56" xr:uid="{00000000-0005-0000-0000-000022000000}"/>
    <cellStyle name="40% - Accent6 3" xfId="70" xr:uid="{00000000-0005-0000-0000-000023000000}"/>
    <cellStyle name="60% - Accent1 2" xfId="38" xr:uid="{00000000-0005-0000-0000-000024000000}"/>
    <cellStyle name="60% - Accent2 2" xfId="39" xr:uid="{00000000-0005-0000-0000-000025000000}"/>
    <cellStyle name="60% - Accent3 2" xfId="40" xr:uid="{00000000-0005-0000-0000-000026000000}"/>
    <cellStyle name="60% - Accent4 2" xfId="41" xr:uid="{00000000-0005-0000-0000-000027000000}"/>
    <cellStyle name="60% - Accent5 2" xfId="42" xr:uid="{00000000-0005-0000-0000-000028000000}"/>
    <cellStyle name="60% - Accent6 2" xfId="43" xr:uid="{00000000-0005-0000-0000-000029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7" xr:uid="{00000000-0005-0000-0000-00003B000000}"/>
    <cellStyle name="Normal" xfId="0" builtinId="0"/>
    <cellStyle name="Normal 2" xfId="36" xr:uid="{00000000-0005-0000-0000-00003D000000}"/>
    <cellStyle name="Normal 2 2" xfId="57" xr:uid="{00000000-0005-0000-0000-00003E000000}"/>
    <cellStyle name="Normal 3" xfId="35" xr:uid="{00000000-0005-0000-0000-00003F000000}"/>
    <cellStyle name="Note" xfId="14" builtinId="10" customBuiltin="1"/>
    <cellStyle name="Note 2" xfId="44" xr:uid="{00000000-0005-0000-0000-000041000000}"/>
    <cellStyle name="Note 3" xfId="58" xr:uid="{00000000-0005-0000-0000-000042000000}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23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D3131"/>
      <color rgb="FFFADCD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8921-D4BE-4722-A5B0-1F19185590C8}">
  <dimension ref="B1:J29"/>
  <sheetViews>
    <sheetView tabSelected="1" workbookViewId="0">
      <selection activeCell="H10" sqref="H10"/>
    </sheetView>
  </sheetViews>
  <sheetFormatPr defaultColWidth="8.85546875" defaultRowHeight="14.45"/>
  <cols>
    <col min="1" max="1" width="3.7109375" style="11" customWidth="1"/>
    <col min="2" max="2" width="12.28515625" style="11" customWidth="1"/>
    <col min="3" max="3" width="14.7109375" style="11" customWidth="1"/>
    <col min="4" max="4" width="46.7109375" style="11" bestFit="1" customWidth="1"/>
    <col min="5" max="5" width="34.85546875" style="36" customWidth="1"/>
    <col min="6" max="6" width="14.5703125" style="11" customWidth="1"/>
    <col min="7" max="7" width="19" style="11" customWidth="1"/>
    <col min="8" max="8" width="39" style="11" customWidth="1"/>
    <col min="9" max="9" width="22.42578125" style="11" customWidth="1"/>
    <col min="10" max="10" width="13.28515625" style="11" customWidth="1"/>
    <col min="11" max="16384" width="8.85546875" style="11"/>
  </cols>
  <sheetData>
    <row r="1" spans="2:10" ht="11.1" customHeight="1"/>
    <row r="2" spans="2:10" ht="26.25">
      <c r="B2" s="38" t="s">
        <v>0</v>
      </c>
      <c r="C2" s="38"/>
      <c r="D2" s="38"/>
      <c r="E2" s="37"/>
      <c r="I2" s="40" t="s">
        <v>1</v>
      </c>
      <c r="J2" s="45" t="s">
        <v>2</v>
      </c>
    </row>
    <row r="3" spans="2:10" ht="15.6" customHeight="1">
      <c r="B3" s="43"/>
      <c r="C3" s="43"/>
      <c r="D3" s="43"/>
      <c r="E3" s="44"/>
      <c r="I3" s="40"/>
      <c r="J3" s="45"/>
    </row>
    <row r="4" spans="2:10" ht="26.25">
      <c r="B4" s="41" t="s">
        <v>3</v>
      </c>
      <c r="C4" s="41"/>
      <c r="D4" s="41"/>
      <c r="E4" s="42"/>
    </row>
    <row r="5" spans="2:10" ht="18.75">
      <c r="B5" s="33" t="s">
        <v>4</v>
      </c>
      <c r="C5" s="52" t="s">
        <v>5</v>
      </c>
      <c r="D5" s="52"/>
      <c r="E5" s="52"/>
      <c r="G5" s="21"/>
      <c r="H5" s="53"/>
      <c r="I5" s="53"/>
      <c r="J5" s="53"/>
    </row>
    <row r="6" spans="2:10" ht="15.75">
      <c r="C6" s="39"/>
      <c r="D6" s="18"/>
      <c r="G6" s="39"/>
    </row>
    <row r="7" spans="2:10" ht="15">
      <c r="D7" s="11" t="s">
        <v>6</v>
      </c>
      <c r="E7" s="46" t="s">
        <v>7</v>
      </c>
      <c r="F7" s="34" t="s">
        <v>1</v>
      </c>
      <c r="I7" s="49"/>
      <c r="J7" s="34"/>
    </row>
    <row r="8" spans="2:10" ht="15">
      <c r="D8" s="11" t="s">
        <v>8</v>
      </c>
      <c r="E8" s="46" t="s">
        <v>9</v>
      </c>
      <c r="F8" s="34" t="s">
        <v>1</v>
      </c>
      <c r="I8" s="49"/>
      <c r="J8" s="34"/>
    </row>
    <row r="9" spans="2:10" ht="15">
      <c r="D9" s="11">
        <v>2</v>
      </c>
      <c r="E9" s="46"/>
      <c r="F9" s="34"/>
      <c r="I9" s="49"/>
      <c r="J9" s="34"/>
    </row>
    <row r="10" spans="2:10" ht="15">
      <c r="D10" s="11" t="s">
        <v>10</v>
      </c>
      <c r="E10" s="46"/>
      <c r="F10" s="34"/>
      <c r="I10" s="49"/>
      <c r="J10" s="34"/>
    </row>
    <row r="11" spans="2:10" ht="15">
      <c r="D11" s="11" t="s">
        <v>11</v>
      </c>
      <c r="E11" s="48" t="s">
        <v>12</v>
      </c>
      <c r="F11" s="34" t="s">
        <v>1</v>
      </c>
      <c r="I11" s="50"/>
      <c r="J11" s="34"/>
    </row>
    <row r="12" spans="2:10" ht="15">
      <c r="D12" s="11" t="s">
        <v>13</v>
      </c>
      <c r="E12" s="47" t="s">
        <v>14</v>
      </c>
      <c r="F12" s="34" t="s">
        <v>1</v>
      </c>
      <c r="I12" s="51"/>
      <c r="J12" s="34"/>
    </row>
    <row r="13" spans="2:10" ht="15">
      <c r="D13" s="11" t="s">
        <v>15</v>
      </c>
      <c r="E13" s="46" t="s">
        <v>16</v>
      </c>
      <c r="F13" s="34" t="s">
        <v>1</v>
      </c>
      <c r="I13" s="49"/>
      <c r="J13" s="34"/>
    </row>
    <row r="14" spans="2:10" ht="15">
      <c r="D14" s="11" t="s">
        <v>17</v>
      </c>
      <c r="E14" s="46"/>
      <c r="F14" s="34"/>
      <c r="I14" s="49"/>
      <c r="J14" s="34"/>
    </row>
    <row r="15" spans="2:10" ht="15">
      <c r="D15" s="11" t="s">
        <v>18</v>
      </c>
      <c r="E15" s="46" t="s">
        <v>19</v>
      </c>
      <c r="F15" s="34" t="s">
        <v>1</v>
      </c>
      <c r="I15" s="49"/>
      <c r="J15" s="34"/>
    </row>
    <row r="16" spans="2:10" ht="15">
      <c r="D16" s="11" t="s">
        <v>20</v>
      </c>
      <c r="E16" s="46"/>
      <c r="F16" s="34"/>
      <c r="I16" s="49"/>
      <c r="J16" s="34"/>
    </row>
    <row r="17" spans="2:10" ht="15">
      <c r="D17" s="11" t="s">
        <v>21</v>
      </c>
      <c r="E17" s="46"/>
      <c r="F17" s="34"/>
      <c r="I17" s="49"/>
      <c r="J17" s="34"/>
    </row>
    <row r="18" spans="2:10" ht="15.75">
      <c r="B18" s="19"/>
      <c r="C18" s="19"/>
      <c r="D18" s="19"/>
    </row>
    <row r="19" spans="2:10" ht="18.75">
      <c r="B19" s="33" t="s">
        <v>4</v>
      </c>
      <c r="C19" s="52" t="s">
        <v>22</v>
      </c>
      <c r="D19" s="52"/>
      <c r="E19" s="52"/>
      <c r="G19" s="21"/>
      <c r="H19" s="53"/>
      <c r="I19" s="53"/>
      <c r="J19" s="53"/>
    </row>
    <row r="20" spans="2:10" ht="15.75">
      <c r="C20" s="39"/>
      <c r="D20" s="18"/>
      <c r="G20" s="39"/>
    </row>
    <row r="21" spans="2:10" ht="15">
      <c r="C21" s="20"/>
      <c r="D21" s="11" t="s">
        <v>23</v>
      </c>
      <c r="E21" s="48" t="s">
        <v>24</v>
      </c>
      <c r="F21" s="34" t="s">
        <v>1</v>
      </c>
      <c r="I21" s="50"/>
      <c r="J21" s="34"/>
    </row>
    <row r="22" spans="2:10" ht="15">
      <c r="C22" s="20"/>
    </row>
    <row r="23" spans="2:10" ht="18.75">
      <c r="B23" s="33" t="s">
        <v>4</v>
      </c>
      <c r="C23" s="52" t="s">
        <v>25</v>
      </c>
      <c r="D23" s="52"/>
      <c r="E23" s="52"/>
    </row>
    <row r="24" spans="2:10" ht="15">
      <c r="C24" s="20"/>
    </row>
    <row r="25" spans="2:10" ht="15">
      <c r="C25" s="20"/>
      <c r="D25" s="11" t="s">
        <v>18</v>
      </c>
      <c r="E25" s="46"/>
      <c r="F25" s="34" t="s">
        <v>1</v>
      </c>
      <c r="G25" s="34" t="s">
        <v>26</v>
      </c>
    </row>
    <row r="26" spans="2:10" ht="15">
      <c r="C26" s="20"/>
      <c r="D26" s="11" t="s">
        <v>27</v>
      </c>
      <c r="E26" s="46"/>
      <c r="F26" s="34" t="s">
        <v>1</v>
      </c>
      <c r="G26" s="11" t="s">
        <v>28</v>
      </c>
      <c r="H26" s="20" t="s">
        <v>29</v>
      </c>
    </row>
    <row r="27" spans="2:10" ht="15">
      <c r="C27" s="20"/>
      <c r="D27" s="11" t="s">
        <v>30</v>
      </c>
      <c r="E27" s="47"/>
      <c r="F27" s="34" t="s">
        <v>1</v>
      </c>
      <c r="H27" s="20" t="s">
        <v>31</v>
      </c>
    </row>
    <row r="28" spans="2:10" ht="18.75">
      <c r="C28" s="28"/>
      <c r="F28" s="34"/>
      <c r="I28" s="49"/>
      <c r="J28" s="34"/>
    </row>
    <row r="29" spans="2:10">
      <c r="F29" s="34"/>
      <c r="I29" s="49"/>
      <c r="J29" s="34"/>
    </row>
  </sheetData>
  <mergeCells count="5">
    <mergeCell ref="C5:E5"/>
    <mergeCell ref="H5:J5"/>
    <mergeCell ref="C19:E19"/>
    <mergeCell ref="H19:J19"/>
    <mergeCell ref="C23:E23"/>
  </mergeCells>
  <conditionalFormatting sqref="C6">
    <cfRule type="expression" dxfId="22" priority="15">
      <formula>#REF!=""</formula>
    </cfRule>
  </conditionalFormatting>
  <conditionalFormatting sqref="E25:E27">
    <cfRule type="expression" dxfId="21" priority="6">
      <formula>#REF!="Yes"</formula>
    </cfRule>
    <cfRule type="expression" dxfId="20" priority="36">
      <formula>#REF!&lt;&gt;"Supplier"</formula>
    </cfRule>
    <cfRule type="expression" dxfId="19" priority="37">
      <formula>#REF!="Customer Sold-To"</formula>
    </cfRule>
  </conditionalFormatting>
  <conditionalFormatting sqref="G6 H28 J28">
    <cfRule type="expression" dxfId="18" priority="34">
      <formula>#REF!="Customer Sold-To"</formula>
    </cfRule>
  </conditionalFormatting>
  <conditionalFormatting sqref="G20">
    <cfRule type="expression" dxfId="17" priority="33">
      <formula>#REF!="Customer Sold-To"</formula>
    </cfRule>
  </conditionalFormatting>
  <conditionalFormatting sqref="G7:H17 J7:J17 G18:J20 C20 G21:H21 J21 G28:H28 J28">
    <cfRule type="expression" dxfId="16" priority="10">
      <formula>#REF!=""</formula>
    </cfRule>
  </conditionalFormatting>
  <conditionalFormatting sqref="G25:H25">
    <cfRule type="expression" dxfId="15" priority="4">
      <formula>#REF!&lt;&gt;"Supplier"</formula>
    </cfRule>
  </conditionalFormatting>
  <conditionalFormatting sqref="G26:H27 G27:I27">
    <cfRule type="expression" dxfId="14" priority="19">
      <formula>#REF!&lt;&gt;"Supplier"</formula>
    </cfRule>
  </conditionalFormatting>
  <conditionalFormatting sqref="G29:H29 J29">
    <cfRule type="expression" dxfId="13" priority="8">
      <formula>#REF!&lt;&gt;"Customer (Sold-To ≠ Bill-To)"</formula>
    </cfRule>
  </conditionalFormatting>
  <conditionalFormatting sqref="G29:I29 B29:E30 F29:F31">
    <cfRule type="expression" dxfId="12" priority="14">
      <formula>#REF!="Supplier"</formula>
    </cfRule>
  </conditionalFormatting>
  <conditionalFormatting sqref="G5:J6">
    <cfRule type="expression" dxfId="11" priority="16">
      <formula>#REF!=""</formula>
    </cfRule>
  </conditionalFormatting>
  <conditionalFormatting sqref="G22:J27">
    <cfRule type="expression" dxfId="10" priority="7">
      <formula>#REF!=""</formula>
    </cfRule>
  </conditionalFormatting>
  <conditionalFormatting sqref="H8:H10">
    <cfRule type="expression" dxfId="9" priority="12">
      <formula>#REF!="Customer (Sold-To = Bill-To)"</formula>
    </cfRule>
    <cfRule type="expression" dxfId="8" priority="13">
      <formula>#REF!="Supplier"</formula>
    </cfRule>
  </conditionalFormatting>
  <dataValidations count="1">
    <dataValidation type="textLength" operator="lessThanOrEqual" allowBlank="1" showInputMessage="1" showErrorMessage="1" sqref="E8:E10 I8:I10" xr:uid="{BC54DAC9-9424-4C88-BD91-661B71581239}">
      <formula1>60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89D45DCC-1CF3-422C-91D4-D8E977AF0B57}">
            <xm:f>#REF!=Sheet4!$A$16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23D5E8E6-8E33-4600-8A60-49CD4FAEC5B9}">
            <xm:f>OR(#REF!=Sheet4!$A$15)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C6</xm:sqref>
        </x14:conditionalFormatting>
        <x14:conditionalFormatting xmlns:xm="http://schemas.microsoft.com/office/excel/2006/main">
          <x14:cfRule type="expression" priority="27" id="{DCA63C18-2945-40B7-B3E9-729477E9541C}">
            <xm:f>#REF!=Sheet4!$A$16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8" id="{4611F9C0-9E67-48E8-85E7-064BB5B842A6}">
            <xm:f>#REF!=Sheet4!$A$15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G7:H7 J7:J17 G8:G10 G11:H17 G18:J20 C20 G21:H21 J21</xm:sqref>
        </x14:conditionalFormatting>
        <x14:conditionalFormatting xmlns:xm="http://schemas.microsoft.com/office/excel/2006/main">
          <x14:cfRule type="expression" priority="25" id="{7E2BB19C-7504-4728-8C7B-D367117DFB3A}">
            <xm:f>#REF!=Sheet4!$A$15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6" id="{6A89BF66-6E36-4115-8EFD-2B309C675B98}">
            <xm:f>#REF!=Sheet4!$A$16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G28:H28 J28</xm:sqref>
        </x14:conditionalFormatting>
        <x14:conditionalFormatting xmlns:xm="http://schemas.microsoft.com/office/excel/2006/main">
          <x14:cfRule type="expression" priority="29" id="{BBFA590B-792F-4441-9BE7-ACEABA83A131}">
            <xm:f>#REF!=Sheet4!$A$16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2" id="{F7B7C66E-0A54-4CB9-BAB3-E6998FE8AB72}">
            <xm:f>#REF!=Sheet4!$A$15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G5:J6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D4A104B-E2B3-4529-B94B-AA6C630921A1}">
          <x14:formula1>
            <xm:f>Sheet4!$G$35:$G$45</xm:f>
          </x14:formula1>
          <xm:sqref>I28</xm:sqref>
        </x14:dataValidation>
        <x14:dataValidation type="list" allowBlank="1" showInputMessage="1" showErrorMessage="1" xr:uid="{1242E8BF-1562-49DD-B2B0-C0577B3632E7}">
          <x14:formula1>
            <xm:f>Sheet4!$C$2:$C$250</xm:f>
          </x14:formula1>
          <xm:sqref>I15:I17 E25 E15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D63"/>
  <sheetViews>
    <sheetView workbookViewId="0">
      <selection activeCell="E48" sqref="E48"/>
    </sheetView>
  </sheetViews>
  <sheetFormatPr defaultColWidth="8.85546875" defaultRowHeight="14.45"/>
  <cols>
    <col min="1" max="1" width="10" style="11" customWidth="1"/>
    <col min="2" max="2" width="6.7109375" style="11" customWidth="1"/>
    <col min="3" max="3" width="22.28515625" style="11" customWidth="1"/>
    <col min="4" max="4" width="75.7109375" style="11" customWidth="1"/>
    <col min="5" max="5" width="14" style="11" customWidth="1"/>
    <col min="6" max="6" width="29.42578125" style="11" customWidth="1"/>
    <col min="7" max="7" width="14.7109375" style="11" customWidth="1"/>
    <col min="8" max="8" width="20.28515625" style="11" customWidth="1"/>
    <col min="9" max="9" width="20.42578125" style="11" customWidth="1"/>
    <col min="10" max="10" width="21" style="11" customWidth="1"/>
    <col min="11" max="11" width="24.5703125" style="11" customWidth="1"/>
    <col min="12" max="16384" width="8.85546875" style="11"/>
  </cols>
  <sheetData>
    <row r="1" spans="1:4" ht="26.1">
      <c r="A1" s="16" t="s">
        <v>32</v>
      </c>
      <c r="B1" s="17"/>
      <c r="C1" s="17"/>
      <c r="D1" s="17"/>
    </row>
    <row r="2" spans="1:4" ht="18.600000000000001">
      <c r="A2" s="9"/>
      <c r="B2" s="15"/>
      <c r="C2" s="15"/>
      <c r="D2" s="10"/>
    </row>
    <row r="3" spans="1:4" ht="18.600000000000001">
      <c r="A3" s="21" t="s">
        <v>4</v>
      </c>
      <c r="B3" s="52" t="s">
        <v>5</v>
      </c>
      <c r="C3" s="52"/>
      <c r="D3" s="52"/>
    </row>
    <row r="4" spans="1:4" ht="15.95" thickBot="1">
      <c r="B4" s="14"/>
      <c r="C4" s="18"/>
    </row>
    <row r="5" spans="1:4" ht="15" thickBot="1">
      <c r="C5" s="11" t="s">
        <v>33</v>
      </c>
      <c r="D5" s="12" t="s">
        <v>34</v>
      </c>
    </row>
    <row r="6" spans="1:4" ht="15" thickBot="1">
      <c r="C6" s="11" t="s">
        <v>35</v>
      </c>
      <c r="D6" s="12" t="e">
        <f>IF(#REF!&lt;&gt;"Supplier",IF(ISBLANK(#REF!),"",#REF!),"")</f>
        <v>#REF!</v>
      </c>
    </row>
    <row r="7" spans="1:4" ht="15" thickBot="1">
      <c r="C7" s="11" t="s">
        <v>36</v>
      </c>
      <c r="D7" s="12" t="e">
        <f>IF(#REF!&lt;&gt;"Supplier",IF(ISBLANK(#REF!),"",#REF!),"")</f>
        <v>#REF!</v>
      </c>
    </row>
    <row r="8" spans="1:4" ht="15" thickBot="1">
      <c r="C8" s="11" t="s">
        <v>37</v>
      </c>
      <c r="D8" s="12" t="e">
        <f>IF(#REF!&lt;&gt;"Supplier",IF(ISBLANK(#REF!),"",#REF!),"")</f>
        <v>#REF!</v>
      </c>
    </row>
    <row r="9" spans="1:4" ht="15" thickBot="1">
      <c r="C9" s="11" t="s">
        <v>38</v>
      </c>
      <c r="D9" s="12" t="e">
        <f>IF(#REF!&lt;&gt;"Supplier",IF(ISBLANK(#REF!),"",#REF!),"")</f>
        <v>#REF!</v>
      </c>
    </row>
    <row r="10" spans="1:4" ht="15" thickBot="1">
      <c r="C10" s="11" t="s">
        <v>39</v>
      </c>
      <c r="D10" s="12" t="e">
        <f>IF(#REF!&lt;&gt;"Supplier",IF(ISBLANK(#REF!),"",#REF!),"")</f>
        <v>#REF!</v>
      </c>
    </row>
    <row r="11" spans="1:4" ht="15" thickBot="1">
      <c r="C11" s="11" t="s">
        <v>11</v>
      </c>
      <c r="D11" s="12" t="e">
        <f>IF(#REF!&lt;&gt;"Supplier",IF(ISBLANK(#REF!),"",#REF!),"")</f>
        <v>#REF!</v>
      </c>
    </row>
    <row r="12" spans="1:4" ht="15" thickBot="1">
      <c r="C12" s="11" t="s">
        <v>13</v>
      </c>
      <c r="D12" s="12" t="e">
        <f>IF(#REF!&lt;&gt;"Supplier",IF(ISBLANK(#REF!),"",#REF!),"")</f>
        <v>#REF!</v>
      </c>
    </row>
    <row r="13" spans="1:4" ht="15" thickBot="1">
      <c r="C13" s="11" t="s">
        <v>15</v>
      </c>
      <c r="D13" s="12" t="e">
        <f>IF(#REF!&lt;&gt;"Supplier",IF(ISBLANK(#REF!),"",#REF!),"")</f>
        <v>#REF!</v>
      </c>
    </row>
    <row r="14" spans="1:4" ht="15" thickBot="1">
      <c r="C14" s="11" t="s">
        <v>17</v>
      </c>
      <c r="D14" s="12" t="e">
        <f>IF(#REF!&lt;&gt;"Supplier",IF(ISBLANK(#REF!),"",#REF!),"")</f>
        <v>#REF!</v>
      </c>
    </row>
    <row r="15" spans="1:4" ht="15" thickBot="1">
      <c r="C15" s="11" t="s">
        <v>18</v>
      </c>
      <c r="D15" s="12" t="e">
        <f>IF(#REF!&lt;&gt;"Supplier",IF(ISBLANK(#REF!),"",#REF!),"")</f>
        <v>#REF!</v>
      </c>
    </row>
    <row r="16" spans="1:4" ht="15" thickBot="1">
      <c r="C16" s="11" t="s">
        <v>40</v>
      </c>
      <c r="D16" s="12" t="s">
        <v>41</v>
      </c>
    </row>
    <row r="17" spans="1:4" ht="13.9" customHeight="1">
      <c r="A17" s="19"/>
      <c r="B17" s="19"/>
      <c r="C17" s="19"/>
    </row>
    <row r="18" spans="1:4" ht="18.600000000000001">
      <c r="A18" s="21" t="s">
        <v>4</v>
      </c>
      <c r="B18" s="52" t="s">
        <v>22</v>
      </c>
      <c r="C18" s="52"/>
      <c r="D18" s="52"/>
    </row>
    <row r="19" spans="1:4" ht="15.95" thickBot="1">
      <c r="B19" s="14"/>
      <c r="C19" s="18"/>
    </row>
    <row r="20" spans="1:4" ht="15" thickBot="1">
      <c r="B20" s="20"/>
      <c r="C20" s="11" t="s">
        <v>42</v>
      </c>
      <c r="D20" s="12" t="e">
        <f>IF(#REF!&lt;&gt;"Supplier",IF(ISBLANK(#REF!),"",#REF!),"")</f>
        <v>#REF!</v>
      </c>
    </row>
    <row r="21" spans="1:4">
      <c r="B21" s="20"/>
    </row>
    <row r="22" spans="1:4" s="13" customFormat="1" ht="15" thickBot="1"/>
    <row r="24" spans="1:4" s="22" customFormat="1" ht="21">
      <c r="A24" s="23" t="s">
        <v>43</v>
      </c>
      <c r="B24" s="23"/>
      <c r="C24" s="23"/>
      <c r="D24" s="23"/>
    </row>
    <row r="26" spans="1:4" ht="18.600000000000001">
      <c r="B26" s="29" t="s">
        <v>44</v>
      </c>
      <c r="C26" s="29"/>
      <c r="D26" s="30"/>
    </row>
    <row r="27" spans="1:4" ht="15" thickBot="1"/>
    <row r="28" spans="1:4" ht="15" thickBot="1">
      <c r="C28" s="11" t="s">
        <v>45</v>
      </c>
      <c r="D28" s="12" t="e">
        <f>IF(#REF!&lt;&gt;"Supplier",IF(ISBLANK(D6),"",D6),"")</f>
        <v>#REF!</v>
      </c>
    </row>
    <row r="29" spans="1:4" s="13" customFormat="1" ht="15" thickBot="1"/>
    <row r="31" spans="1:4" ht="21">
      <c r="A31" s="26" t="s">
        <v>46</v>
      </c>
      <c r="B31" s="25"/>
      <c r="C31" s="25"/>
      <c r="D31" s="25"/>
    </row>
    <row r="32" spans="1:4" ht="15" thickBot="1"/>
    <row r="33" spans="1:4" ht="15" thickBot="1">
      <c r="C33" s="11" t="s">
        <v>47</v>
      </c>
      <c r="D33" s="12" t="e">
        <f>IF(#REF!&lt;&gt;"Supplier",IF(ISBLANK(#REF!),"",LEFT(#REF!,4)),"")</f>
        <v>#REF!</v>
      </c>
    </row>
    <row r="35" spans="1:4" ht="18.95" thickBot="1">
      <c r="B35" s="29" t="s">
        <v>48</v>
      </c>
      <c r="C35" s="31"/>
      <c r="D35" s="31"/>
    </row>
    <row r="36" spans="1:4" ht="15.95" thickBot="1">
      <c r="B36" s="14"/>
      <c r="C36" s="11" t="s">
        <v>49</v>
      </c>
      <c r="D36" s="12" t="e">
        <f>IF(#REF!&lt;&gt;"Supplier",IF(ISBLANK(#REF!),"",#REF!),"")</f>
        <v>#REF!</v>
      </c>
    </row>
    <row r="37" spans="1:4" ht="15.6">
      <c r="B37" s="14"/>
      <c r="C37" s="20"/>
      <c r="D37" s="21"/>
    </row>
    <row r="38" spans="1:4" ht="18.600000000000001">
      <c r="B38" s="29" t="s">
        <v>50</v>
      </c>
      <c r="C38" s="31"/>
      <c r="D38" s="31"/>
    </row>
    <row r="39" spans="1:4" ht="18.95" thickBot="1">
      <c r="B39" s="28"/>
      <c r="C39" s="10"/>
      <c r="D39" s="10"/>
    </row>
    <row r="40" spans="1:4" ht="18.95" thickBot="1">
      <c r="B40" s="28"/>
      <c r="C40" s="11" t="s">
        <v>51</v>
      </c>
      <c r="D40" s="12" t="e">
        <f>IF(#REF!&lt;&gt;"Supplier",IF(ISBLANK(#REF!),"",LEFT(#REF!,4)),"")</f>
        <v>#REF!</v>
      </c>
    </row>
    <row r="41" spans="1:4" ht="18.95" thickBot="1">
      <c r="B41" s="28"/>
      <c r="C41" s="11" t="s">
        <v>52</v>
      </c>
      <c r="D41" s="12" t="e">
        <f>IF(AND(#REF!&lt;&gt;"Supplier",#REF!&lt;&gt;""),IF(AND(D33="UK10",LEFT(D15,2)="GB"),"01",IF(LEFT(D33,2)=LEFT(D15,2),"01","02")),"")</f>
        <v>#REF!</v>
      </c>
    </row>
    <row r="42" spans="1:4" ht="18.95" thickBot="1">
      <c r="B42" s="28"/>
      <c r="C42" s="11" t="s">
        <v>53</v>
      </c>
      <c r="D42" s="24" t="e">
        <f>IF(AND(#REF!&lt;&gt;"Supplier",#REF!&lt;&gt;""),IF(OR(LEFT(D33,2)="AE",LEFT(D33,2)="HK"),"0","1"),"")</f>
        <v>#REF!</v>
      </c>
    </row>
    <row r="43" spans="1:4" s="13" customFormat="1" ht="15" thickBot="1"/>
    <row r="45" spans="1:4" ht="21">
      <c r="A45" s="26" t="s">
        <v>54</v>
      </c>
      <c r="B45" s="25"/>
      <c r="C45" s="25"/>
      <c r="D45" s="25"/>
    </row>
    <row r="46" spans="1:4" ht="15" thickBot="1"/>
    <row r="47" spans="1:4" ht="15" thickBot="1">
      <c r="C47" s="11" t="s">
        <v>55</v>
      </c>
      <c r="D47" s="12" t="e">
        <f>IF(ISBLANK(D33),"",D33)</f>
        <v>#REF!</v>
      </c>
    </row>
    <row r="49" spans="2:4" ht="18.600000000000001">
      <c r="B49" s="29" t="s">
        <v>56</v>
      </c>
      <c r="C49" s="31"/>
      <c r="D49" s="31"/>
    </row>
    <row r="50" spans="2:4" ht="15" thickBot="1"/>
    <row r="51" spans="2:4" ht="15" thickBot="1">
      <c r="C51" s="11" t="s">
        <v>57</v>
      </c>
      <c r="D51" s="12" t="e">
        <f>IF(AND(#REF!&lt;&gt;"Supplier",#REF!&lt;&gt;""),IF(AND(D47="UK10",LEFT(D15,2)="GB"),"12100000",IF(LEFT(D33,2)=LEFT(D15,2),"12100000","12120000")),"")</f>
        <v>#REF!</v>
      </c>
    </row>
    <row r="52" spans="2:4" ht="15" thickBot="1">
      <c r="C52" s="11" t="s">
        <v>58</v>
      </c>
      <c r="D52" s="32" t="e">
        <f>IF(AND(#REF!&lt;&gt;"Supplier",#REF!&lt;&gt;""),"001","")</f>
        <v>#REF!</v>
      </c>
    </row>
    <row r="54" spans="2:4" ht="18.600000000000001">
      <c r="B54" s="29" t="s">
        <v>59</v>
      </c>
      <c r="C54" s="31"/>
      <c r="D54" s="31"/>
    </row>
    <row r="55" spans="2:4" ht="15" thickBot="1"/>
    <row r="56" spans="2:4" ht="15" thickBot="1">
      <c r="C56" s="11" t="s">
        <v>51</v>
      </c>
      <c r="D56" s="12" t="e">
        <f>IF(ISBLANK(D40),"",D40)</f>
        <v>#REF!</v>
      </c>
    </row>
    <row r="57" spans="2:4" ht="15" thickBot="1">
      <c r="C57" s="11" t="s">
        <v>60</v>
      </c>
      <c r="D57" s="32" t="s">
        <v>61</v>
      </c>
    </row>
    <row r="59" spans="2:4" ht="18.600000000000001">
      <c r="B59" s="29" t="s">
        <v>62</v>
      </c>
      <c r="C59" s="31"/>
      <c r="D59" s="31"/>
    </row>
    <row r="60" spans="2:4" ht="15" thickBot="1"/>
    <row r="61" spans="2:4" ht="15" thickBot="1">
      <c r="C61" s="11" t="s">
        <v>63</v>
      </c>
      <c r="D61" s="32" t="e">
        <f>IF(AND(#REF!&lt;&gt;"Supplier",#REF!&lt;&gt;""),"1001","")</f>
        <v>#REF!</v>
      </c>
    </row>
    <row r="62" spans="2:4" ht="15" thickBot="1">
      <c r="C62" s="11" t="s">
        <v>64</v>
      </c>
      <c r="D62" s="32" t="e">
        <f>IF(#REF!&lt;&gt;"Supplier",IF(ISBLANK(#REF!),"",#REF!),"")</f>
        <v>#REF!</v>
      </c>
    </row>
    <row r="63" spans="2:4" ht="15" thickBot="1">
      <c r="C63" s="11" t="s">
        <v>65</v>
      </c>
      <c r="D63" s="12" t="e">
        <f>IF(#REF!&lt;&gt;"Supplier",IF(ISBLANK(#REF!),"",#REF!),"")</f>
        <v>#REF!</v>
      </c>
    </row>
  </sheetData>
  <sheetProtection algorithmName="SHA-512" hashValue="kyCYwwbYFs2YwiigDZOslL41bRDyQOrStow+l9ywA7PrAIBw3rO8XF7tiqskjIsPyxeFxTsnV6l56qMjrCZXVA==" saltValue="in62KvZJhWQFE7fmnU3N6Q==" spinCount="100000" sheet="1" objects="1" scenarios="1"/>
  <mergeCells count="2">
    <mergeCell ref="B3:D3"/>
    <mergeCell ref="B18:D18"/>
  </mergeCells>
  <pageMargins left="0.7" right="0.7" top="0.75" bottom="0.75" header="0.3" footer="0.3"/>
  <pageSetup paperSize="9" orientation="portrait" horizontalDpi="200" verticalDpi="20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Sheet4!$G$35:$G$45</xm:f>
          </x14:formula1>
          <xm:sqref>D59 D38:D39 D54 D35 D49 D45 D29:D32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D63"/>
  <sheetViews>
    <sheetView topLeftCell="A43" workbookViewId="0">
      <selection activeCell="E48" sqref="E48"/>
    </sheetView>
  </sheetViews>
  <sheetFormatPr defaultColWidth="8.85546875" defaultRowHeight="14.45"/>
  <cols>
    <col min="1" max="1" width="10" style="11" customWidth="1"/>
    <col min="2" max="2" width="6.7109375" style="11" customWidth="1"/>
    <col min="3" max="3" width="22.28515625" style="11" customWidth="1"/>
    <col min="4" max="4" width="67.7109375" style="11" customWidth="1"/>
    <col min="5" max="5" width="14" style="11" customWidth="1"/>
    <col min="6" max="6" width="29.42578125" style="11" customWidth="1"/>
    <col min="7" max="7" width="14.7109375" style="11" customWidth="1"/>
    <col min="8" max="8" width="20.28515625" style="11" customWidth="1"/>
    <col min="9" max="9" width="20.42578125" style="11" customWidth="1"/>
    <col min="10" max="10" width="21" style="11" customWidth="1"/>
    <col min="11" max="11" width="24.5703125" style="11" customWidth="1"/>
    <col min="12" max="16384" width="8.85546875" style="11"/>
  </cols>
  <sheetData>
    <row r="1" spans="1:4" ht="26.1">
      <c r="A1" s="16" t="s">
        <v>32</v>
      </c>
      <c r="B1" s="17"/>
      <c r="C1" s="17"/>
      <c r="D1" s="17"/>
    </row>
    <row r="2" spans="1:4" ht="18.600000000000001">
      <c r="A2" s="9"/>
      <c r="B2" s="15"/>
      <c r="C2" s="15"/>
      <c r="D2" s="10"/>
    </row>
    <row r="3" spans="1:4" ht="18.600000000000001">
      <c r="A3" s="21" t="s">
        <v>4</v>
      </c>
      <c r="B3" s="52" t="s">
        <v>5</v>
      </c>
      <c r="C3" s="52"/>
      <c r="D3" s="52"/>
    </row>
    <row r="4" spans="1:4" ht="15.95" thickBot="1">
      <c r="B4" s="14"/>
      <c r="C4" s="18"/>
    </row>
    <row r="5" spans="1:4" ht="15" thickBot="1">
      <c r="C5" s="11" t="s">
        <v>33</v>
      </c>
      <c r="D5" s="12" t="s">
        <v>34</v>
      </c>
    </row>
    <row r="6" spans="1:4" ht="15" thickBot="1">
      <c r="C6" s="11" t="s">
        <v>35</v>
      </c>
      <c r="D6" s="12" t="e">
        <f>IF(#REF!="Customer (Sold-To ≠ Bill-To)",IF(ISBLANK(#REF!),"",#REF!),"")</f>
        <v>#REF!</v>
      </c>
    </row>
    <row r="7" spans="1:4" ht="15" thickBot="1">
      <c r="C7" s="11" t="s">
        <v>36</v>
      </c>
      <c r="D7" s="12" t="e">
        <f>IF(#REF!="Customer (Sold-To ≠ Bill-To)",IF(ISBLANK(#REF!),"",#REF!),"")</f>
        <v>#REF!</v>
      </c>
    </row>
    <row r="8" spans="1:4" ht="15" thickBot="1">
      <c r="C8" s="11" t="s">
        <v>37</v>
      </c>
      <c r="D8" s="12" t="e">
        <f>IF(#REF!="Customer (Sold-To ≠ Bill-To)",IF(ISBLANK(#REF!),"",#REF!),"")</f>
        <v>#REF!</v>
      </c>
    </row>
    <row r="9" spans="1:4" ht="15" thickBot="1">
      <c r="C9" s="11" t="s">
        <v>38</v>
      </c>
      <c r="D9" s="12" t="e">
        <f>IF(#REF!="Customer (Sold-To ≠ Bill-To)",IF(ISBLANK(#REF!),"",#REF!),"")</f>
        <v>#REF!</v>
      </c>
    </row>
    <row r="10" spans="1:4" ht="15" thickBot="1">
      <c r="C10" s="11" t="s">
        <v>39</v>
      </c>
      <c r="D10" s="12" t="e">
        <f>IF(#REF!="Customer (Sold-To ≠ Bill-To)",IF(ISBLANK(#REF!),"",#REF!),"")</f>
        <v>#REF!</v>
      </c>
    </row>
    <row r="11" spans="1:4" ht="15" thickBot="1">
      <c r="C11" s="11" t="s">
        <v>11</v>
      </c>
      <c r="D11" s="35" t="e">
        <f>IF(#REF!="Customer (Sold-To ≠ Bill-To)",IF(ISBLANK(#REF!),"",#REF!),"")</f>
        <v>#REF!</v>
      </c>
    </row>
    <row r="12" spans="1:4" ht="15" thickBot="1">
      <c r="C12" s="11" t="s">
        <v>13</v>
      </c>
      <c r="D12" s="35" t="e">
        <f>IF(#REF!="Customer (Sold-To ≠ Bill-To)",IF(ISBLANK(#REF!),"",#REF!),"")</f>
        <v>#REF!</v>
      </c>
    </row>
    <row r="13" spans="1:4" ht="15" thickBot="1">
      <c r="C13" s="11" t="s">
        <v>15</v>
      </c>
      <c r="D13" s="12" t="e">
        <f>IF(#REF!="Customer (Sold-To ≠ Bill-To)",IF(ISBLANK(#REF!),"",#REF!),"")</f>
        <v>#REF!</v>
      </c>
    </row>
    <row r="14" spans="1:4" ht="15" thickBot="1">
      <c r="C14" s="11" t="s">
        <v>17</v>
      </c>
      <c r="D14" s="12" t="e">
        <f>IF(#REF!="Customer (Sold-To ≠ Bill-To)",IF(ISBLANK(#REF!),"",#REF!),"")</f>
        <v>#REF!</v>
      </c>
    </row>
    <row r="15" spans="1:4" ht="15" thickBot="1">
      <c r="C15" s="11" t="s">
        <v>18</v>
      </c>
      <c r="D15" s="12" t="e">
        <f>IF(#REF!="Customer (Sold-To ≠ Bill-To)",IF(ISBLANK(#REF!),"",#REF!),"")</f>
        <v>#REF!</v>
      </c>
    </row>
    <row r="16" spans="1:4" ht="15" thickBot="1">
      <c r="C16" s="11" t="s">
        <v>40</v>
      </c>
      <c r="D16" s="12" t="s">
        <v>41</v>
      </c>
    </row>
    <row r="17" spans="1:4" ht="13.9" customHeight="1">
      <c r="A17" s="19"/>
      <c r="B17" s="19"/>
      <c r="C17" s="19"/>
    </row>
    <row r="18" spans="1:4" ht="18.600000000000001">
      <c r="A18" s="21" t="s">
        <v>4</v>
      </c>
      <c r="B18" s="52" t="s">
        <v>22</v>
      </c>
      <c r="C18" s="52"/>
      <c r="D18" s="52"/>
    </row>
    <row r="19" spans="1:4" ht="15.95" thickBot="1">
      <c r="B19" s="14"/>
      <c r="C19" s="18"/>
    </row>
    <row r="20" spans="1:4" ht="15" thickBot="1">
      <c r="B20" s="20"/>
      <c r="C20" s="11" t="s">
        <v>42</v>
      </c>
      <c r="D20" s="12" t="e">
        <f>IF(#REF!="Customer (Sold-To ≠ Bill-To)",IF(ISBLANK(#REF!),"",#REF!),"")</f>
        <v>#REF!</v>
      </c>
    </row>
    <row r="21" spans="1:4">
      <c r="B21" s="20"/>
    </row>
    <row r="22" spans="1:4" s="13" customFormat="1" ht="15" thickBot="1"/>
    <row r="24" spans="1:4" s="22" customFormat="1" ht="21">
      <c r="A24" s="23" t="s">
        <v>43</v>
      </c>
      <c r="B24" s="23"/>
      <c r="C24" s="23"/>
      <c r="D24" s="23"/>
    </row>
    <row r="26" spans="1:4" ht="18.600000000000001">
      <c r="B26" s="29" t="s">
        <v>44</v>
      </c>
      <c r="C26" s="29"/>
      <c r="D26" s="30"/>
    </row>
    <row r="27" spans="1:4" ht="15" thickBot="1"/>
    <row r="28" spans="1:4" ht="15" thickBot="1">
      <c r="C28" s="11" t="s">
        <v>45</v>
      </c>
      <c r="D28" s="12" t="e">
        <f>IF(#REF!="Customer (Sold-To ≠ Bill-To)",IF(ISBLANK(D6),"",D6),"")</f>
        <v>#REF!</v>
      </c>
    </row>
    <row r="29" spans="1:4" s="13" customFormat="1" ht="15" thickBot="1"/>
    <row r="31" spans="1:4" ht="21">
      <c r="A31" s="26" t="s">
        <v>46</v>
      </c>
      <c r="B31" s="25"/>
      <c r="C31" s="25"/>
      <c r="D31" s="25"/>
    </row>
    <row r="32" spans="1:4" ht="15" thickBot="1"/>
    <row r="33" spans="1:4" ht="15" thickBot="1">
      <c r="C33" s="11" t="s">
        <v>47</v>
      </c>
      <c r="D33" s="12" t="e">
        <f>IF(#REF!="Customer (Sold-To ≠ Bill-To)",IF(ISBLANK(#REF!),"",LEFT(#REF!,4)),"")</f>
        <v>#REF!</v>
      </c>
    </row>
    <row r="35" spans="1:4" ht="18.95" thickBot="1">
      <c r="B35" s="29" t="s">
        <v>48</v>
      </c>
      <c r="C35" s="31"/>
      <c r="D35" s="31"/>
    </row>
    <row r="36" spans="1:4" ht="15.95" thickBot="1">
      <c r="B36" s="14"/>
      <c r="C36" s="11" t="s">
        <v>49</v>
      </c>
      <c r="D36" s="12" t="e">
        <f>IF(#REF!="Customer (Sold-To ≠ Bill-To)",IF(ISBLANK(#REF!),"",#REF!),"")</f>
        <v>#REF!</v>
      </c>
    </row>
    <row r="37" spans="1:4" ht="15.6">
      <c r="B37" s="14"/>
      <c r="C37" s="20"/>
      <c r="D37" s="21"/>
    </row>
    <row r="38" spans="1:4" ht="18.600000000000001">
      <c r="B38" s="29" t="s">
        <v>50</v>
      </c>
      <c r="C38" s="31"/>
      <c r="D38" s="31"/>
    </row>
    <row r="39" spans="1:4" ht="18.95" thickBot="1">
      <c r="B39" s="28"/>
      <c r="C39" s="10"/>
      <c r="D39" s="10"/>
    </row>
    <row r="40" spans="1:4" ht="18.95" thickBot="1">
      <c r="B40" s="28"/>
      <c r="C40" s="11" t="s">
        <v>51</v>
      </c>
      <c r="D40" s="12" t="e">
        <f>IF(#REF!="Customer (Sold-To ≠ Bill-To)",IF(ISBLANK(#REF!),"",LEFT(#REF!,4)),"")</f>
        <v>#REF!</v>
      </c>
    </row>
    <row r="41" spans="1:4" ht="18.95" thickBot="1">
      <c r="B41" s="28"/>
      <c r="C41" s="11" t="s">
        <v>52</v>
      </c>
      <c r="D41" s="12" t="e">
        <f>IF(#REF!="Customer (Sold-To ≠ Bill-To)",IF(AND(D33="UK10",LEFT(D15,2)="GB"),"01",IF(LEFT(D33,2)=LEFT(D15,2),"01","02")),"")</f>
        <v>#REF!</v>
      </c>
    </row>
    <row r="42" spans="1:4" ht="18.95" thickBot="1">
      <c r="B42" s="28"/>
      <c r="C42" s="11" t="s">
        <v>53</v>
      </c>
      <c r="D42" s="24" t="e">
        <f>IF(#REF!="Customer (Sold-To ≠ Bill-To)",IF(OR(LEFT(D33,2)="AE",LEFT(D33,2)="HK"),"0","1"),"")</f>
        <v>#REF!</v>
      </c>
    </row>
    <row r="43" spans="1:4" s="13" customFormat="1" ht="15" thickBot="1"/>
    <row r="45" spans="1:4" ht="21">
      <c r="A45" s="26" t="s">
        <v>54</v>
      </c>
      <c r="B45" s="25"/>
      <c r="C45" s="25"/>
      <c r="D45" s="25"/>
    </row>
    <row r="46" spans="1:4" ht="15" thickBot="1"/>
    <row r="47" spans="1:4" ht="15" thickBot="1">
      <c r="C47" s="11" t="s">
        <v>55</v>
      </c>
      <c r="D47" s="12" t="e">
        <f>IF(ISBLANK(D33),"",D33)</f>
        <v>#REF!</v>
      </c>
    </row>
    <row r="49" spans="2:4" ht="18.600000000000001">
      <c r="B49" s="29" t="s">
        <v>56</v>
      </c>
      <c r="C49" s="31"/>
      <c r="D49" s="31"/>
    </row>
    <row r="50" spans="2:4" ht="15" thickBot="1"/>
    <row r="51" spans="2:4" ht="15" thickBot="1">
      <c r="C51" s="11" t="s">
        <v>57</v>
      </c>
      <c r="D51" s="12" t="e">
        <f>IF(#REF!="Customer (Sold-To ≠ Bill-To)",IF(AND(D47="UK10",LEFT(D15,2)="GB"),"12100000",IF(LEFT(D33,2)=LEFT(D15,2),"12100000","12120000")),"")</f>
        <v>#REF!</v>
      </c>
    </row>
    <row r="52" spans="2:4" ht="15" thickBot="1">
      <c r="C52" s="11" t="s">
        <v>58</v>
      </c>
      <c r="D52" s="32" t="e">
        <f>IF(#REF!="Customer (Sold-To ≠ Bill-To)","001","")</f>
        <v>#REF!</v>
      </c>
    </row>
    <row r="54" spans="2:4" ht="18.600000000000001">
      <c r="B54" s="29" t="s">
        <v>59</v>
      </c>
      <c r="C54" s="31"/>
      <c r="D54" s="31"/>
    </row>
    <row r="55" spans="2:4" ht="15" thickBot="1"/>
    <row r="56" spans="2:4" ht="15" thickBot="1">
      <c r="C56" s="11" t="s">
        <v>51</v>
      </c>
      <c r="D56" s="12" t="e">
        <f>IF(ISBLANK(D40),"",D40)</f>
        <v>#REF!</v>
      </c>
    </row>
    <row r="57" spans="2:4" ht="15" thickBot="1">
      <c r="C57" s="11" t="s">
        <v>60</v>
      </c>
      <c r="D57" s="32" t="s">
        <v>61</v>
      </c>
    </row>
    <row r="59" spans="2:4" ht="18.600000000000001">
      <c r="B59" s="29" t="s">
        <v>62</v>
      </c>
      <c r="C59" s="31"/>
      <c r="D59" s="31"/>
    </row>
    <row r="60" spans="2:4" ht="15" thickBot="1"/>
    <row r="61" spans="2:4" ht="15" thickBot="1">
      <c r="C61" s="11" t="s">
        <v>63</v>
      </c>
      <c r="D61" s="32" t="e">
        <f>IF(#REF!="Customer (Sold-To ≠ Bill-To)","1001","")</f>
        <v>#REF!</v>
      </c>
    </row>
    <row r="62" spans="2:4" ht="15" thickBot="1">
      <c r="C62" s="11" t="s">
        <v>64</v>
      </c>
      <c r="D62" s="32" t="e">
        <f>IF(#REF!="Customer (Sold-To ≠ Bill-To)",IF(ISBLANK(#REF!),"",#REF!),"")</f>
        <v>#REF!</v>
      </c>
    </row>
    <row r="63" spans="2:4" ht="15" thickBot="1">
      <c r="C63" s="11" t="s">
        <v>65</v>
      </c>
      <c r="D63" s="32" t="e">
        <f>IF(#REF!="Customer (Sold-To ≠ Bill-To)",IF(ISBLANK(#REF!),"",#REF!),"")</f>
        <v>#REF!</v>
      </c>
    </row>
  </sheetData>
  <sheetProtection algorithmName="SHA-512" hashValue="pcJtQWrRzOhOFSQj3rJyyTPzzFBIGErZrUbHLVWXNQ/1g+GLo6fm20tJbZRwJ1vHRkSmvgOAeFUyCO5e6U4x3A==" saltValue="PkjhlizFVAaFdHXL8YUAwg==" spinCount="100000" sheet="1" objects="1" scenarios="1"/>
  <mergeCells count="2">
    <mergeCell ref="B3:D3"/>
    <mergeCell ref="B18:D18"/>
  </mergeCells>
  <pageMargins left="0.7" right="0.7" top="0.75" bottom="0.75" header="0.3" footer="0.3"/>
  <pageSetup paperSize="9" orientation="portrait" horizontalDpi="200" verticalDpi="20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Sheet4!$G$35:$G$45</xm:f>
          </x14:formula1>
          <xm:sqref>D59 D38:D39 D54 D35 D49 D45 D29:D32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D56"/>
  <sheetViews>
    <sheetView workbookViewId="0">
      <selection activeCell="E48" sqref="E48"/>
    </sheetView>
  </sheetViews>
  <sheetFormatPr defaultColWidth="8.85546875" defaultRowHeight="14.45"/>
  <cols>
    <col min="1" max="1" width="10" style="11" customWidth="1"/>
    <col min="2" max="2" width="6.7109375" style="11" customWidth="1"/>
    <col min="3" max="3" width="22.28515625" style="11" customWidth="1"/>
    <col min="4" max="4" width="54.140625" style="11" customWidth="1"/>
    <col min="5" max="5" width="14" style="11" customWidth="1"/>
    <col min="6" max="6" width="29.42578125" style="11" customWidth="1"/>
    <col min="7" max="7" width="14.7109375" style="11" customWidth="1"/>
    <col min="8" max="8" width="20.28515625" style="11" customWidth="1"/>
    <col min="9" max="9" width="20.42578125" style="11" customWidth="1"/>
    <col min="10" max="10" width="21" style="11" customWidth="1"/>
    <col min="11" max="11" width="24.5703125" style="11" customWidth="1"/>
    <col min="12" max="16384" width="8.85546875" style="11"/>
  </cols>
  <sheetData>
    <row r="1" spans="1:4" ht="26.1">
      <c r="A1" s="16" t="s">
        <v>32</v>
      </c>
      <c r="B1" s="17"/>
      <c r="C1" s="17"/>
      <c r="D1" s="17"/>
    </row>
    <row r="2" spans="1:4" ht="18.600000000000001">
      <c r="A2" s="9"/>
      <c r="B2" s="15"/>
      <c r="C2" s="15"/>
      <c r="D2" s="10"/>
    </row>
    <row r="3" spans="1:4" ht="18.600000000000001">
      <c r="A3" s="21" t="s">
        <v>4</v>
      </c>
      <c r="B3" s="52" t="s">
        <v>5</v>
      </c>
      <c r="C3" s="52"/>
      <c r="D3" s="52"/>
    </row>
    <row r="4" spans="1:4" ht="15.95" thickBot="1">
      <c r="B4" s="14"/>
      <c r="C4" s="18"/>
    </row>
    <row r="5" spans="1:4" ht="15" thickBot="1">
      <c r="C5" s="11" t="s">
        <v>33</v>
      </c>
      <c r="D5" s="12" t="s">
        <v>34</v>
      </c>
    </row>
    <row r="6" spans="1:4" ht="15" thickBot="1">
      <c r="C6" s="11" t="s">
        <v>36</v>
      </c>
      <c r="D6" s="12" t="e">
        <f>IF(#REF!="Supplier",IF(ISBLANK(#REF!),"",#REF!),"")</f>
        <v>#REF!</v>
      </c>
    </row>
    <row r="7" spans="1:4" ht="15" thickBot="1">
      <c r="C7" s="11" t="s">
        <v>37</v>
      </c>
      <c r="D7" s="12" t="e">
        <f>IF(#REF!="Supplier",IF(ISBLANK(#REF!),"",#REF!),"")</f>
        <v>#REF!</v>
      </c>
    </row>
    <row r="8" spans="1:4" ht="15" thickBot="1">
      <c r="C8" s="11" t="s">
        <v>38</v>
      </c>
      <c r="D8" s="12" t="e">
        <f>IF(#REF!="Supplier",IF(ISBLANK(#REF!),"",#REF!),"")</f>
        <v>#REF!</v>
      </c>
    </row>
    <row r="9" spans="1:4" ht="15" thickBot="1">
      <c r="C9" s="11" t="s">
        <v>39</v>
      </c>
      <c r="D9" s="12" t="e">
        <f>IF(#REF!="Supplier",IF(ISBLANK(#REF!),"",#REF!),"")</f>
        <v>#REF!</v>
      </c>
    </row>
    <row r="10" spans="1:4" ht="15" thickBot="1">
      <c r="C10" s="11" t="s">
        <v>11</v>
      </c>
      <c r="D10" s="35" t="e">
        <f>IF(#REF!="Supplier",IF(ISBLANK(#REF!),"",#REF!),"")</f>
        <v>#REF!</v>
      </c>
    </row>
    <row r="11" spans="1:4" ht="15" thickBot="1">
      <c r="C11" s="11" t="s">
        <v>13</v>
      </c>
      <c r="D11" s="35" t="e">
        <f>IF(#REF!="Supplier",IF(ISBLANK(#REF!),"",#REF!),"")</f>
        <v>#REF!</v>
      </c>
    </row>
    <row r="12" spans="1:4" ht="15" thickBot="1">
      <c r="C12" s="11" t="s">
        <v>15</v>
      </c>
      <c r="D12" s="12" t="e">
        <f>IF(#REF!="Supplier",IF(ISBLANK(#REF!),"",#REF!),"")</f>
        <v>#REF!</v>
      </c>
    </row>
    <row r="13" spans="1:4" ht="15" thickBot="1">
      <c r="C13" s="11" t="s">
        <v>17</v>
      </c>
      <c r="D13" s="12" t="e">
        <f>IF(#REF!="Supplier",IF(ISBLANK(#REF!),"",#REF!),"")</f>
        <v>#REF!</v>
      </c>
    </row>
    <row r="14" spans="1:4" ht="15" thickBot="1">
      <c r="C14" s="11" t="s">
        <v>18</v>
      </c>
      <c r="D14" s="12" t="e">
        <f>IF(#REF!="Supplier",IF(ISBLANK(#REF!),"",LEFT(#REF!,2)),"")</f>
        <v>#REF!</v>
      </c>
    </row>
    <row r="15" spans="1:4" ht="15" thickBot="1">
      <c r="C15" s="11" t="s">
        <v>40</v>
      </c>
      <c r="D15" s="12" t="s">
        <v>41</v>
      </c>
    </row>
    <row r="16" spans="1:4" ht="13.9" customHeight="1">
      <c r="A16" s="19"/>
      <c r="B16" s="19"/>
      <c r="C16" s="19"/>
    </row>
    <row r="17" spans="1:4" ht="18.600000000000001">
      <c r="A17" s="21" t="s">
        <v>4</v>
      </c>
      <c r="B17" s="52" t="s">
        <v>22</v>
      </c>
      <c r="C17" s="52"/>
      <c r="D17" s="52"/>
    </row>
    <row r="18" spans="1:4" ht="15.95" thickBot="1">
      <c r="B18" s="14"/>
      <c r="C18" s="18"/>
    </row>
    <row r="19" spans="1:4" ht="15" thickBot="1">
      <c r="B19" s="20"/>
      <c r="C19" s="11" t="s">
        <v>42</v>
      </c>
      <c r="D19" s="12" t="e">
        <f>IF(#REF!="Supplier",IF(ISBLANK(#REF!),"",#REF!),"")</f>
        <v>#REF!</v>
      </c>
    </row>
    <row r="20" spans="1:4">
      <c r="B20" s="20"/>
    </row>
    <row r="21" spans="1:4" ht="18.600000000000001">
      <c r="A21" s="21" t="s">
        <v>4</v>
      </c>
      <c r="B21" s="52" t="s">
        <v>25</v>
      </c>
      <c r="C21" s="52"/>
      <c r="D21" s="52"/>
    </row>
    <row r="22" spans="1:4" ht="15" thickBot="1">
      <c r="B22" s="20"/>
    </row>
    <row r="23" spans="1:4" ht="15" thickBot="1">
      <c r="B23" s="20"/>
      <c r="C23" s="11" t="s">
        <v>66</v>
      </c>
      <c r="D23" s="12" t="e">
        <f>IF(#REF!="Supplier",IF(ISBLANK(#REF!),"",LEFT(#REF!,2)),"")</f>
        <v>#REF!</v>
      </c>
    </row>
    <row r="24" spans="1:4" ht="15" thickBot="1">
      <c r="B24" s="20"/>
      <c r="C24" s="11" t="s">
        <v>67</v>
      </c>
      <c r="D24" s="12" t="e">
        <f>IF(#REF!="Supplier",IF(ISBLANK(#REF!),"",#REF!),"")</f>
        <v>#REF!</v>
      </c>
    </row>
    <row r="25" spans="1:4" ht="15" thickBot="1">
      <c r="B25" s="20"/>
      <c r="C25" s="11" t="s">
        <v>30</v>
      </c>
      <c r="D25" s="12" t="e">
        <f>IF(#REF!="Supplier",IF(ISBLANK(#REF!),"",#REF!),"")</f>
        <v>#REF!</v>
      </c>
    </row>
    <row r="26" spans="1:4" ht="15" thickBot="1">
      <c r="C26" s="34" t="s">
        <v>68</v>
      </c>
      <c r="D26" s="11" t="e">
        <f>IF(#REF!="Supplier",IF(ISBLANK(#REF!),"",#REF!),"")</f>
        <v>#REF!</v>
      </c>
    </row>
    <row r="27" spans="1:4" ht="15" thickBot="1">
      <c r="B27" s="20"/>
      <c r="C27" s="11" t="s">
        <v>69</v>
      </c>
      <c r="D27" s="12" t="e">
        <f>IF(#REF!="Supplier",IF(ISBLANK(#REF!),"",#REF!),"")</f>
        <v>#REF!</v>
      </c>
    </row>
    <row r="30" spans="1:4" s="13" customFormat="1" ht="15" thickBot="1"/>
    <row r="32" spans="1:4" s="22" customFormat="1" ht="21">
      <c r="A32" s="23" t="s">
        <v>70</v>
      </c>
      <c r="B32" s="23"/>
      <c r="C32" s="23"/>
      <c r="D32" s="23"/>
    </row>
    <row r="34" spans="1:4" ht="15" thickBot="1"/>
    <row r="35" spans="1:4" ht="15" thickBot="1">
      <c r="C35" s="11" t="s">
        <v>71</v>
      </c>
      <c r="D35" s="12" t="e">
        <f>IF(#REF!="Supplier",IF(ISBLANK(#REF!),"",LEFT(#REF!,4)),"")</f>
        <v>#REF!</v>
      </c>
    </row>
    <row r="37" spans="1:4" ht="18.600000000000001">
      <c r="B37" s="29" t="s">
        <v>72</v>
      </c>
      <c r="C37" s="29"/>
      <c r="D37" s="30"/>
    </row>
    <row r="38" spans="1:4" ht="15" thickBot="1"/>
    <row r="39" spans="1:4" ht="15" thickBot="1">
      <c r="C39" s="11" t="s">
        <v>73</v>
      </c>
      <c r="D39" s="12" t="e">
        <f>IF(#REF!="Supplier",IF(ISBLANK(#REF!),"",#REF!),"")</f>
        <v>#REF!</v>
      </c>
    </row>
    <row r="40" spans="1:4" ht="15" thickBot="1">
      <c r="C40" s="11" t="s">
        <v>74</v>
      </c>
      <c r="D40" s="12" t="e">
        <f>IF(#REF!="Supplier",IF(ISBLANK(#REF!),"",LEFT(#REF!,4)),"")</f>
        <v>#REF!</v>
      </c>
    </row>
    <row r="42" spans="1:4" s="13" customFormat="1" ht="15" thickBot="1"/>
    <row r="44" spans="1:4" ht="21">
      <c r="A44" s="26" t="s">
        <v>75</v>
      </c>
      <c r="B44" s="25"/>
      <c r="C44" s="25"/>
      <c r="D44" s="25"/>
    </row>
    <row r="45" spans="1:4" ht="15" thickBot="1"/>
    <row r="46" spans="1:4" ht="15" thickBot="1">
      <c r="C46" s="11" t="s">
        <v>76</v>
      </c>
      <c r="D46" s="12" t="e">
        <f>IF(#REF!="Supplier",IF(ISBLANK(D35),"",D35),"")</f>
        <v>#REF!</v>
      </c>
    </row>
    <row r="48" spans="1:4" ht="18.95" thickBot="1">
      <c r="B48" s="29" t="s">
        <v>77</v>
      </c>
      <c r="C48" s="31"/>
      <c r="D48" s="31"/>
    </row>
    <row r="49" spans="2:4" ht="15.95" thickBot="1">
      <c r="B49" s="14"/>
      <c r="C49" s="11" t="s">
        <v>57</v>
      </c>
      <c r="D49" s="12" t="e">
        <f>IF(#REF!="Supplier",IF(AND(D35="UK10",LEFT(D14,2)="GB"),"21100000",IF(LEFT(D35,2)=LEFT(D14,2),"21100000","21200000")),"")</f>
        <v>#REF!</v>
      </c>
    </row>
    <row r="50" spans="2:4" ht="15.95" thickBot="1">
      <c r="B50" s="14"/>
      <c r="C50" s="11" t="s">
        <v>58</v>
      </c>
      <c r="D50" s="27" t="e">
        <f>IF(#REF!="Supplier","001","")</f>
        <v>#REF!</v>
      </c>
    </row>
    <row r="51" spans="2:4" ht="15.6">
      <c r="B51" s="14"/>
      <c r="C51" s="20"/>
      <c r="D51" s="21"/>
    </row>
    <row r="52" spans="2:4" ht="18.600000000000001">
      <c r="B52" s="29" t="s">
        <v>78</v>
      </c>
      <c r="C52" s="31"/>
      <c r="D52" s="31"/>
    </row>
    <row r="53" spans="2:4" ht="18.95" thickBot="1">
      <c r="B53" s="28"/>
      <c r="C53" s="10"/>
      <c r="D53" s="10"/>
    </row>
    <row r="54" spans="2:4" ht="18.95" thickBot="1">
      <c r="B54" s="28"/>
      <c r="C54" s="11" t="s">
        <v>51</v>
      </c>
      <c r="D54" s="12" t="e">
        <f>IF(#REF!="Supplier",IF(ISBLANK(D40),"",D40),"")</f>
        <v>#REF!</v>
      </c>
    </row>
    <row r="55" spans="2:4" ht="18.95" thickBot="1">
      <c r="B55" s="28"/>
      <c r="C55" s="11" t="s">
        <v>79</v>
      </c>
      <c r="D55" s="12" t="s">
        <v>61</v>
      </c>
    </row>
    <row r="56" spans="2:4" ht="18.95" thickBot="1">
      <c r="B56" s="28"/>
      <c r="C56" s="11" t="s">
        <v>80</v>
      </c>
      <c r="D56" s="24" t="e">
        <f>IF(#REF!="Supplier",IF(ISBLANK(#REF!),"",LEFT(#REF!,1)),"")</f>
        <v>#REF!</v>
      </c>
    </row>
  </sheetData>
  <sheetProtection algorithmName="SHA-512" hashValue="qI3OED2SZO6ydBTLRKWr6i+kOfnTkZIga/YMHRxmGnD9oD76IgeYRCkS2EP1pe23YywY/Co54NwDaWXBSWvSaA==" saltValue="YJhz/JiZly31zqTmyfP8ew==" spinCount="100000" sheet="1" objects="1" scenarios="1"/>
  <mergeCells count="3">
    <mergeCell ref="B3:D3"/>
    <mergeCell ref="B17:D17"/>
    <mergeCell ref="B21:D21"/>
  </mergeCells>
  <pageMargins left="0.7" right="0.7" top="0.75" bottom="0.75" header="0.3" footer="0.3"/>
  <pageSetup paperSize="9" orientation="portrait" horizontalDpi="200" verticalDpi="20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Sheet4!$G$35:$G$45</xm:f>
          </x14:formula1>
          <xm:sqref>D52:D53 D41:D45 D47:D48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0"/>
  <sheetViews>
    <sheetView topLeftCell="A17" zoomScaleNormal="100" workbookViewId="0">
      <selection activeCell="E48" sqref="E48"/>
    </sheetView>
  </sheetViews>
  <sheetFormatPr defaultRowHeight="14.45"/>
  <cols>
    <col min="1" max="1" width="16.7109375" customWidth="1"/>
    <col min="7" max="7" width="27.7109375" customWidth="1"/>
    <col min="9" max="9" width="21.7109375" customWidth="1"/>
    <col min="11" max="11" width="17.85546875" customWidth="1"/>
  </cols>
  <sheetData>
    <row r="1" spans="1:15">
      <c r="A1" s="5" t="s">
        <v>49</v>
      </c>
      <c r="C1" s="6" t="s">
        <v>66</v>
      </c>
      <c r="F1" s="2" t="s">
        <v>80</v>
      </c>
      <c r="O1" t="s">
        <v>76</v>
      </c>
    </row>
    <row r="2" spans="1:15">
      <c r="A2" s="4" t="s">
        <v>81</v>
      </c>
      <c r="C2" s="7" t="s">
        <v>82</v>
      </c>
      <c r="D2" t="str">
        <f>LEFT(C2,2)</f>
        <v>AD</v>
      </c>
      <c r="F2" s="1" t="s">
        <v>83</v>
      </c>
      <c r="G2" s="1"/>
      <c r="H2" s="1" t="s">
        <v>84</v>
      </c>
      <c r="J2" s="1" t="s">
        <v>85</v>
      </c>
      <c r="O2" s="8" t="s">
        <v>86</v>
      </c>
    </row>
    <row r="3" spans="1:15">
      <c r="A3" s="4" t="s">
        <v>87</v>
      </c>
      <c r="C3" s="7" t="s">
        <v>88</v>
      </c>
      <c r="D3" t="str">
        <f t="shared" ref="D3:D66" si="0">LEFT(C3,2)</f>
        <v>AE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O3" s="8" t="s">
        <v>95</v>
      </c>
    </row>
    <row r="4" spans="1:15">
      <c r="A4" s="4" t="s">
        <v>96</v>
      </c>
      <c r="C4" s="7" t="s">
        <v>97</v>
      </c>
      <c r="D4" t="str">
        <f t="shared" si="0"/>
        <v>AF</v>
      </c>
      <c r="F4" t="s">
        <v>98</v>
      </c>
      <c r="G4" t="s">
        <v>99</v>
      </c>
      <c r="H4" t="s">
        <v>100</v>
      </c>
      <c r="I4" t="s">
        <v>101</v>
      </c>
      <c r="J4" t="s">
        <v>98</v>
      </c>
      <c r="K4" t="s">
        <v>102</v>
      </c>
      <c r="O4" s="8" t="s">
        <v>103</v>
      </c>
    </row>
    <row r="5" spans="1:15">
      <c r="A5" s="4" t="s">
        <v>104</v>
      </c>
      <c r="C5" s="7" t="s">
        <v>105</v>
      </c>
      <c r="D5" t="str">
        <f t="shared" si="0"/>
        <v>AG</v>
      </c>
      <c r="F5" t="s">
        <v>93</v>
      </c>
      <c r="G5" t="s">
        <v>106</v>
      </c>
      <c r="H5" t="s">
        <v>93</v>
      </c>
      <c r="I5" t="s">
        <v>94</v>
      </c>
      <c r="J5" t="s">
        <v>100</v>
      </c>
      <c r="K5" t="s">
        <v>107</v>
      </c>
      <c r="O5" s="8" t="s">
        <v>108</v>
      </c>
    </row>
    <row r="6" spans="1:15">
      <c r="A6" s="4" t="s">
        <v>109</v>
      </c>
      <c r="C6" s="7" t="s">
        <v>110</v>
      </c>
      <c r="D6" t="str">
        <f t="shared" si="0"/>
        <v>AI</v>
      </c>
      <c r="F6" t="s">
        <v>100</v>
      </c>
      <c r="G6" t="s">
        <v>111</v>
      </c>
      <c r="H6" t="s">
        <v>98</v>
      </c>
      <c r="I6" t="s">
        <v>112</v>
      </c>
      <c r="O6" s="8" t="s">
        <v>113</v>
      </c>
    </row>
    <row r="7" spans="1:15">
      <c r="A7" s="4" t="s">
        <v>114</v>
      </c>
      <c r="C7" s="7" t="s">
        <v>115</v>
      </c>
      <c r="D7" t="str">
        <f t="shared" si="0"/>
        <v>AL</v>
      </c>
      <c r="O7" s="8" t="s">
        <v>116</v>
      </c>
    </row>
    <row r="8" spans="1:15">
      <c r="A8" s="4" t="s">
        <v>117</v>
      </c>
      <c r="C8" s="7" t="s">
        <v>118</v>
      </c>
      <c r="D8" t="str">
        <f t="shared" si="0"/>
        <v>AM</v>
      </c>
      <c r="F8" s="1" t="s">
        <v>119</v>
      </c>
      <c r="H8" s="1" t="s">
        <v>120</v>
      </c>
      <c r="J8" s="1" t="s">
        <v>121</v>
      </c>
      <c r="O8" s="8" t="s">
        <v>122</v>
      </c>
    </row>
    <row r="9" spans="1:15">
      <c r="A9" s="4" t="s">
        <v>123</v>
      </c>
      <c r="C9" s="7" t="s">
        <v>124</v>
      </c>
      <c r="D9" t="str">
        <f t="shared" si="0"/>
        <v>AO</v>
      </c>
      <c r="F9" t="s">
        <v>91</v>
      </c>
      <c r="G9" t="s">
        <v>125</v>
      </c>
      <c r="H9" t="s">
        <v>100</v>
      </c>
      <c r="I9" t="s">
        <v>111</v>
      </c>
      <c r="J9" t="s">
        <v>93</v>
      </c>
      <c r="K9" t="s">
        <v>126</v>
      </c>
      <c r="O9" s="8" t="s">
        <v>127</v>
      </c>
    </row>
    <row r="10" spans="1:15">
      <c r="A10" s="4" t="s">
        <v>128</v>
      </c>
      <c r="C10" s="7" t="s">
        <v>129</v>
      </c>
      <c r="D10" t="str">
        <f t="shared" si="0"/>
        <v>AQ</v>
      </c>
      <c r="F10" t="s">
        <v>93</v>
      </c>
      <c r="G10" t="s">
        <v>106</v>
      </c>
      <c r="H10" t="s">
        <v>93</v>
      </c>
      <c r="I10" t="s">
        <v>106</v>
      </c>
      <c r="O10" s="8" t="s">
        <v>130</v>
      </c>
    </row>
    <row r="11" spans="1:15">
      <c r="A11" s="4" t="s">
        <v>131</v>
      </c>
      <c r="C11" s="7" t="s">
        <v>132</v>
      </c>
      <c r="D11" t="str">
        <f t="shared" si="0"/>
        <v>AR</v>
      </c>
      <c r="F11" t="s">
        <v>98</v>
      </c>
      <c r="G11" t="s">
        <v>112</v>
      </c>
      <c r="H11" t="s">
        <v>98</v>
      </c>
      <c r="I11" t="s">
        <v>112</v>
      </c>
      <c r="O11" s="8" t="s">
        <v>133</v>
      </c>
    </row>
    <row r="12" spans="1:15">
      <c r="A12" s="4" t="s">
        <v>134</v>
      </c>
      <c r="C12" s="7" t="s">
        <v>135</v>
      </c>
      <c r="D12" t="str">
        <f t="shared" si="0"/>
        <v>AS</v>
      </c>
      <c r="O12" s="8" t="s">
        <v>136</v>
      </c>
    </row>
    <row r="13" spans="1:15">
      <c r="A13" s="4" t="s">
        <v>137</v>
      </c>
      <c r="C13" s="7" t="s">
        <v>138</v>
      </c>
      <c r="D13" t="str">
        <f t="shared" si="0"/>
        <v>AT</v>
      </c>
      <c r="O13" s="8" t="s">
        <v>139</v>
      </c>
    </row>
    <row r="14" spans="1:15">
      <c r="A14" s="4" t="s">
        <v>140</v>
      </c>
      <c r="C14" s="7" t="s">
        <v>141</v>
      </c>
      <c r="D14" t="str">
        <f t="shared" si="0"/>
        <v>AU</v>
      </c>
      <c r="F14" s="1" t="s">
        <v>142</v>
      </c>
      <c r="H14" s="1" t="s">
        <v>143</v>
      </c>
      <c r="I14" s="1"/>
      <c r="J14" s="1" t="s">
        <v>144</v>
      </c>
      <c r="L14" s="1" t="s">
        <v>145</v>
      </c>
      <c r="O14" s="8" t="s">
        <v>146</v>
      </c>
    </row>
    <row r="15" spans="1:15">
      <c r="A15" s="4" t="s">
        <v>147</v>
      </c>
      <c r="C15" s="7" t="s">
        <v>148</v>
      </c>
      <c r="D15" t="str">
        <f t="shared" si="0"/>
        <v>AW</v>
      </c>
      <c r="F15" t="s">
        <v>100</v>
      </c>
      <c r="G15" t="s">
        <v>111</v>
      </c>
      <c r="H15" t="s">
        <v>93</v>
      </c>
      <c r="I15" t="s">
        <v>106</v>
      </c>
      <c r="J15" t="s">
        <v>93</v>
      </c>
      <c r="K15" t="s">
        <v>106</v>
      </c>
      <c r="L15" t="s">
        <v>93</v>
      </c>
      <c r="M15" t="s">
        <v>106</v>
      </c>
      <c r="O15" s="8" t="s">
        <v>149</v>
      </c>
    </row>
    <row r="16" spans="1:15">
      <c r="A16" s="4" t="s">
        <v>150</v>
      </c>
      <c r="C16" s="7" t="s">
        <v>151</v>
      </c>
      <c r="D16" t="str">
        <f t="shared" si="0"/>
        <v>AX</v>
      </c>
      <c r="F16" t="s">
        <v>91</v>
      </c>
      <c r="G16" t="s">
        <v>125</v>
      </c>
      <c r="H16" t="s">
        <v>98</v>
      </c>
      <c r="I16" t="s">
        <v>152</v>
      </c>
      <c r="J16" t="s">
        <v>98</v>
      </c>
      <c r="K16" t="s">
        <v>152</v>
      </c>
      <c r="L16" t="s">
        <v>98</v>
      </c>
      <c r="M16" t="s">
        <v>152</v>
      </c>
      <c r="O16" s="8" t="s">
        <v>153</v>
      </c>
    </row>
    <row r="17" spans="1:15">
      <c r="C17" s="7" t="s">
        <v>154</v>
      </c>
      <c r="D17" t="str">
        <f t="shared" si="0"/>
        <v>AZ</v>
      </c>
      <c r="F17" t="s">
        <v>93</v>
      </c>
      <c r="G17" t="s">
        <v>106</v>
      </c>
      <c r="H17" s="1" t="s">
        <v>155</v>
      </c>
      <c r="J17" s="1" t="s">
        <v>156</v>
      </c>
      <c r="O17" s="8" t="s">
        <v>157</v>
      </c>
    </row>
    <row r="18" spans="1:15">
      <c r="A18" s="4" t="s">
        <v>158</v>
      </c>
      <c r="C18" s="7" t="s">
        <v>159</v>
      </c>
      <c r="D18" t="str">
        <f t="shared" si="0"/>
        <v>BA</v>
      </c>
      <c r="F18" t="s">
        <v>98</v>
      </c>
      <c r="G18" t="s">
        <v>160</v>
      </c>
      <c r="H18" t="s">
        <v>93</v>
      </c>
      <c r="I18" t="s">
        <v>106</v>
      </c>
      <c r="J18" t="s">
        <v>93</v>
      </c>
      <c r="K18" t="s">
        <v>106</v>
      </c>
      <c r="O18" s="8" t="s">
        <v>161</v>
      </c>
    </row>
    <row r="19" spans="1:15">
      <c r="A19" s="4" t="s">
        <v>162</v>
      </c>
      <c r="C19" s="7" t="s">
        <v>163</v>
      </c>
      <c r="D19" t="str">
        <f t="shared" si="0"/>
        <v>BB</v>
      </c>
      <c r="H19" t="s">
        <v>98</v>
      </c>
      <c r="I19" t="s">
        <v>152</v>
      </c>
      <c r="J19" t="s">
        <v>98</v>
      </c>
      <c r="K19" t="s">
        <v>152</v>
      </c>
      <c r="O19" s="8" t="s">
        <v>164</v>
      </c>
    </row>
    <row r="20" spans="1:15">
      <c r="C20" s="7" t="s">
        <v>165</v>
      </c>
      <c r="D20" t="str">
        <f t="shared" si="0"/>
        <v>BD</v>
      </c>
      <c r="F20" s="1" t="s">
        <v>166</v>
      </c>
      <c r="H20" s="1" t="s">
        <v>167</v>
      </c>
      <c r="J20" s="1" t="s">
        <v>168</v>
      </c>
      <c r="L20" s="1" t="s">
        <v>169</v>
      </c>
      <c r="O20" s="8" t="s">
        <v>170</v>
      </c>
    </row>
    <row r="21" spans="1:15">
      <c r="C21" s="7" t="s">
        <v>171</v>
      </c>
      <c r="D21" t="str">
        <f t="shared" si="0"/>
        <v>BE</v>
      </c>
      <c r="F21" t="s">
        <v>91</v>
      </c>
      <c r="G21" t="s">
        <v>125</v>
      </c>
      <c r="H21" t="s">
        <v>91</v>
      </c>
      <c r="I21" t="s">
        <v>125</v>
      </c>
      <c r="J21" t="s">
        <v>172</v>
      </c>
      <c r="K21" t="s">
        <v>173</v>
      </c>
      <c r="L21" t="s">
        <v>172</v>
      </c>
      <c r="M21" t="s">
        <v>173</v>
      </c>
      <c r="O21" s="8" t="s">
        <v>174</v>
      </c>
    </row>
    <row r="22" spans="1:15">
      <c r="C22" s="7" t="s">
        <v>175</v>
      </c>
      <c r="D22" t="str">
        <f t="shared" si="0"/>
        <v>BF</v>
      </c>
      <c r="F22" t="s">
        <v>100</v>
      </c>
      <c r="G22" t="s">
        <v>111</v>
      </c>
      <c r="H22" t="s">
        <v>100</v>
      </c>
      <c r="I22" t="s">
        <v>111</v>
      </c>
      <c r="J22" t="s">
        <v>91</v>
      </c>
      <c r="K22" t="s">
        <v>92</v>
      </c>
      <c r="L22" t="s">
        <v>91</v>
      </c>
      <c r="M22" t="s">
        <v>92</v>
      </c>
      <c r="O22" s="8" t="s">
        <v>176</v>
      </c>
    </row>
    <row r="23" spans="1:15">
      <c r="C23" s="7" t="s">
        <v>177</v>
      </c>
      <c r="D23" t="str">
        <f t="shared" si="0"/>
        <v>BG</v>
      </c>
      <c r="F23" t="s">
        <v>93</v>
      </c>
      <c r="G23" t="s">
        <v>178</v>
      </c>
      <c r="H23" t="s">
        <v>93</v>
      </c>
      <c r="I23" t="s">
        <v>106</v>
      </c>
      <c r="J23" t="s">
        <v>93</v>
      </c>
      <c r="K23" t="s">
        <v>126</v>
      </c>
      <c r="L23" t="s">
        <v>93</v>
      </c>
      <c r="M23" t="s">
        <v>126</v>
      </c>
      <c r="O23" s="8" t="s">
        <v>179</v>
      </c>
    </row>
    <row r="24" spans="1:15">
      <c r="C24" s="7" t="s">
        <v>180</v>
      </c>
      <c r="D24" t="str">
        <f t="shared" si="0"/>
        <v>BH</v>
      </c>
      <c r="F24" t="s">
        <v>98</v>
      </c>
      <c r="G24" t="s">
        <v>181</v>
      </c>
      <c r="H24" t="s">
        <v>98</v>
      </c>
      <c r="I24" t="s">
        <v>112</v>
      </c>
      <c r="J24" t="s">
        <v>182</v>
      </c>
      <c r="K24" t="s">
        <v>183</v>
      </c>
      <c r="L24" t="s">
        <v>182</v>
      </c>
      <c r="M24" t="s">
        <v>183</v>
      </c>
      <c r="O24" s="8" t="s">
        <v>184</v>
      </c>
    </row>
    <row r="25" spans="1:15">
      <c r="C25" s="7" t="s">
        <v>185</v>
      </c>
      <c r="D25" t="str">
        <f t="shared" si="0"/>
        <v>BI</v>
      </c>
      <c r="H25" t="s">
        <v>61</v>
      </c>
      <c r="I25" t="s">
        <v>186</v>
      </c>
      <c r="J25" t="s">
        <v>98</v>
      </c>
      <c r="K25" t="s">
        <v>187</v>
      </c>
      <c r="L25" t="s">
        <v>98</v>
      </c>
      <c r="M25" t="s">
        <v>187</v>
      </c>
    </row>
    <row r="26" spans="1:15">
      <c r="C26" s="7" t="s">
        <v>188</v>
      </c>
      <c r="D26" t="str">
        <f t="shared" si="0"/>
        <v>BJ</v>
      </c>
      <c r="F26" s="1" t="s">
        <v>189</v>
      </c>
    </row>
    <row r="27" spans="1:15">
      <c r="C27" s="7" t="s">
        <v>190</v>
      </c>
      <c r="D27" t="str">
        <f t="shared" si="0"/>
        <v>BL</v>
      </c>
      <c r="F27" t="s">
        <v>91</v>
      </c>
      <c r="G27" t="s">
        <v>125</v>
      </c>
      <c r="H27" s="1" t="s">
        <v>191</v>
      </c>
      <c r="K27" s="1" t="s">
        <v>192</v>
      </c>
    </row>
    <row r="28" spans="1:15">
      <c r="C28" s="7" t="s">
        <v>193</v>
      </c>
      <c r="D28" t="str">
        <f t="shared" si="0"/>
        <v>BM</v>
      </c>
      <c r="F28" t="s">
        <v>194</v>
      </c>
      <c r="G28" t="s">
        <v>195</v>
      </c>
      <c r="H28" t="s">
        <v>100</v>
      </c>
      <c r="I28" t="s">
        <v>196</v>
      </c>
      <c r="K28" t="s">
        <v>91</v>
      </c>
      <c r="L28" t="s">
        <v>125</v>
      </c>
    </row>
    <row r="29" spans="1:15">
      <c r="C29" s="7" t="s">
        <v>197</v>
      </c>
      <c r="D29" t="str">
        <f t="shared" si="0"/>
        <v>BN</v>
      </c>
      <c r="F29" t="s">
        <v>100</v>
      </c>
      <c r="G29" t="s">
        <v>198</v>
      </c>
      <c r="H29" t="s">
        <v>93</v>
      </c>
      <c r="I29" t="s">
        <v>126</v>
      </c>
      <c r="K29" t="s">
        <v>93</v>
      </c>
      <c r="L29" t="s">
        <v>106</v>
      </c>
    </row>
    <row r="30" spans="1:15">
      <c r="C30" s="7" t="s">
        <v>199</v>
      </c>
      <c r="D30" t="str">
        <f t="shared" si="0"/>
        <v>BO</v>
      </c>
      <c r="F30" t="s">
        <v>98</v>
      </c>
      <c r="G30" t="s">
        <v>152</v>
      </c>
      <c r="H30" t="s">
        <v>98</v>
      </c>
      <c r="I30" t="s">
        <v>152</v>
      </c>
      <c r="K30" t="s">
        <v>98</v>
      </c>
      <c r="L30" t="s">
        <v>112</v>
      </c>
    </row>
    <row r="31" spans="1:15">
      <c r="C31" s="7" t="s">
        <v>200</v>
      </c>
      <c r="D31" t="str">
        <f t="shared" si="0"/>
        <v>BQ</v>
      </c>
    </row>
    <row r="32" spans="1:15">
      <c r="C32" s="7" t="s">
        <v>201</v>
      </c>
      <c r="D32" t="str">
        <f t="shared" si="0"/>
        <v>BR</v>
      </c>
    </row>
    <row r="33" spans="3:9">
      <c r="C33" s="7" t="s">
        <v>202</v>
      </c>
      <c r="D33" t="str">
        <f t="shared" si="0"/>
        <v>BS</v>
      </c>
    </row>
    <row r="34" spans="3:9">
      <c r="C34" s="7" t="s">
        <v>203</v>
      </c>
      <c r="D34" t="str">
        <f t="shared" si="0"/>
        <v>BT</v>
      </c>
      <c r="G34" t="s">
        <v>204</v>
      </c>
      <c r="I34" t="s">
        <v>53</v>
      </c>
    </row>
    <row r="35" spans="3:9">
      <c r="C35" s="7" t="s">
        <v>205</v>
      </c>
      <c r="D35" t="str">
        <f t="shared" si="0"/>
        <v>BV</v>
      </c>
      <c r="G35" s="8" t="s">
        <v>206</v>
      </c>
      <c r="I35" t="s">
        <v>207</v>
      </c>
    </row>
    <row r="36" spans="3:9">
      <c r="C36" s="7" t="s">
        <v>208</v>
      </c>
      <c r="D36" t="str">
        <f t="shared" si="0"/>
        <v>BW</v>
      </c>
      <c r="G36" s="8" t="s">
        <v>209</v>
      </c>
      <c r="I36" t="s">
        <v>210</v>
      </c>
    </row>
    <row r="37" spans="3:9">
      <c r="C37" s="7" t="s">
        <v>211</v>
      </c>
      <c r="D37" t="str">
        <f t="shared" si="0"/>
        <v>BY</v>
      </c>
      <c r="G37" s="8" t="s">
        <v>212</v>
      </c>
    </row>
    <row r="38" spans="3:9">
      <c r="C38" s="7" t="s">
        <v>213</v>
      </c>
      <c r="D38" t="str">
        <f t="shared" si="0"/>
        <v>BZ</v>
      </c>
      <c r="G38" s="8" t="s">
        <v>214</v>
      </c>
    </row>
    <row r="39" spans="3:9">
      <c r="C39" s="7" t="s">
        <v>215</v>
      </c>
      <c r="D39" t="str">
        <f t="shared" si="0"/>
        <v>CA</v>
      </c>
      <c r="G39" s="8" t="s">
        <v>216</v>
      </c>
    </row>
    <row r="40" spans="3:9">
      <c r="C40" s="7" t="s">
        <v>217</v>
      </c>
      <c r="D40" t="str">
        <f t="shared" si="0"/>
        <v>CC</v>
      </c>
      <c r="G40" s="8" t="s">
        <v>218</v>
      </c>
    </row>
    <row r="41" spans="3:9">
      <c r="C41" s="7" t="s">
        <v>219</v>
      </c>
      <c r="D41" t="str">
        <f t="shared" si="0"/>
        <v>CD</v>
      </c>
      <c r="G41" s="8" t="s">
        <v>220</v>
      </c>
    </row>
    <row r="42" spans="3:9">
      <c r="C42" s="7" t="s">
        <v>221</v>
      </c>
      <c r="D42" t="str">
        <f t="shared" si="0"/>
        <v>CF</v>
      </c>
      <c r="G42" s="8" t="s">
        <v>222</v>
      </c>
    </row>
    <row r="43" spans="3:9">
      <c r="C43" s="7" t="s">
        <v>223</v>
      </c>
      <c r="D43" t="str">
        <f t="shared" si="0"/>
        <v>CG</v>
      </c>
      <c r="G43" s="8" t="s">
        <v>224</v>
      </c>
    </row>
    <row r="44" spans="3:9">
      <c r="C44" s="7" t="s">
        <v>225</v>
      </c>
      <c r="D44" t="str">
        <f t="shared" si="0"/>
        <v>CH</v>
      </c>
      <c r="G44" s="8" t="s">
        <v>226</v>
      </c>
    </row>
    <row r="45" spans="3:9">
      <c r="C45" s="7" t="s">
        <v>227</v>
      </c>
      <c r="D45" t="str">
        <f t="shared" si="0"/>
        <v>CI</v>
      </c>
      <c r="G45" s="8" t="s">
        <v>228</v>
      </c>
    </row>
    <row r="46" spans="3:9">
      <c r="C46" s="7" t="s">
        <v>229</v>
      </c>
      <c r="D46" t="str">
        <f t="shared" si="0"/>
        <v>CK</v>
      </c>
    </row>
    <row r="47" spans="3:9">
      <c r="C47" s="7" t="s">
        <v>230</v>
      </c>
      <c r="D47" t="str">
        <f t="shared" si="0"/>
        <v>CL</v>
      </c>
    </row>
    <row r="48" spans="3:9">
      <c r="C48" s="7" t="s">
        <v>231</v>
      </c>
      <c r="D48" t="str">
        <f t="shared" si="0"/>
        <v>CM</v>
      </c>
    </row>
    <row r="49" spans="3:4">
      <c r="C49" s="7" t="s">
        <v>232</v>
      </c>
      <c r="D49" t="str">
        <f t="shared" si="0"/>
        <v>CN</v>
      </c>
    </row>
    <row r="50" spans="3:4">
      <c r="C50" s="7" t="s">
        <v>233</v>
      </c>
      <c r="D50" t="str">
        <f t="shared" si="0"/>
        <v>CO</v>
      </c>
    </row>
    <row r="51" spans="3:4">
      <c r="C51" s="7" t="s">
        <v>234</v>
      </c>
      <c r="D51" t="str">
        <f t="shared" si="0"/>
        <v>CR</v>
      </c>
    </row>
    <row r="52" spans="3:4">
      <c r="C52" s="7" t="s">
        <v>235</v>
      </c>
      <c r="D52" t="str">
        <f t="shared" si="0"/>
        <v>CU</v>
      </c>
    </row>
    <row r="53" spans="3:4">
      <c r="C53" s="7" t="s">
        <v>236</v>
      </c>
      <c r="D53" t="str">
        <f t="shared" si="0"/>
        <v>CV</v>
      </c>
    </row>
    <row r="54" spans="3:4">
      <c r="C54" s="7" t="s">
        <v>237</v>
      </c>
      <c r="D54" t="str">
        <f t="shared" si="0"/>
        <v>CW</v>
      </c>
    </row>
    <row r="55" spans="3:4">
      <c r="C55" s="7" t="s">
        <v>238</v>
      </c>
      <c r="D55" t="str">
        <f t="shared" si="0"/>
        <v>CX</v>
      </c>
    </row>
    <row r="56" spans="3:4">
      <c r="C56" s="7" t="s">
        <v>239</v>
      </c>
      <c r="D56" t="str">
        <f t="shared" si="0"/>
        <v>CY</v>
      </c>
    </row>
    <row r="57" spans="3:4">
      <c r="C57" s="7" t="s">
        <v>240</v>
      </c>
      <c r="D57" t="str">
        <f t="shared" si="0"/>
        <v>CZ</v>
      </c>
    </row>
    <row r="58" spans="3:4">
      <c r="C58" s="7" t="s">
        <v>241</v>
      </c>
      <c r="D58" t="str">
        <f t="shared" si="0"/>
        <v>DE</v>
      </c>
    </row>
    <row r="59" spans="3:4">
      <c r="C59" s="7" t="s">
        <v>242</v>
      </c>
      <c r="D59" t="str">
        <f t="shared" si="0"/>
        <v>DJ</v>
      </c>
    </row>
    <row r="60" spans="3:4">
      <c r="C60" s="7" t="s">
        <v>243</v>
      </c>
      <c r="D60" t="str">
        <f t="shared" si="0"/>
        <v>DK</v>
      </c>
    </row>
    <row r="61" spans="3:4">
      <c r="C61" s="7" t="s">
        <v>244</v>
      </c>
      <c r="D61" t="str">
        <f t="shared" si="0"/>
        <v>DM</v>
      </c>
    </row>
    <row r="62" spans="3:4">
      <c r="C62" s="7" t="s">
        <v>245</v>
      </c>
      <c r="D62" t="str">
        <f t="shared" si="0"/>
        <v>DO</v>
      </c>
    </row>
    <row r="63" spans="3:4">
      <c r="C63" s="7" t="s">
        <v>246</v>
      </c>
      <c r="D63" t="str">
        <f t="shared" si="0"/>
        <v>DZ</v>
      </c>
    </row>
    <row r="64" spans="3:4">
      <c r="C64" s="7" t="s">
        <v>247</v>
      </c>
      <c r="D64" t="str">
        <f t="shared" si="0"/>
        <v>EC</v>
      </c>
    </row>
    <row r="65" spans="3:4">
      <c r="C65" s="7" t="s">
        <v>248</v>
      </c>
      <c r="D65" t="str">
        <f t="shared" si="0"/>
        <v>EE</v>
      </c>
    </row>
    <row r="66" spans="3:4">
      <c r="C66" s="7" t="s">
        <v>249</v>
      </c>
      <c r="D66" t="str">
        <f t="shared" si="0"/>
        <v>EG</v>
      </c>
    </row>
    <row r="67" spans="3:4">
      <c r="C67" s="7" t="s">
        <v>250</v>
      </c>
      <c r="D67" t="str">
        <f t="shared" ref="D67:D130" si="1">LEFT(C67,2)</f>
        <v>EH</v>
      </c>
    </row>
    <row r="68" spans="3:4">
      <c r="C68" s="7" t="s">
        <v>251</v>
      </c>
      <c r="D68" t="str">
        <f t="shared" si="1"/>
        <v>ER</v>
      </c>
    </row>
    <row r="69" spans="3:4">
      <c r="C69" s="7" t="s">
        <v>252</v>
      </c>
      <c r="D69" t="str">
        <f t="shared" si="1"/>
        <v>ES</v>
      </c>
    </row>
    <row r="70" spans="3:4">
      <c r="C70" s="7" t="s">
        <v>253</v>
      </c>
      <c r="D70" t="str">
        <f t="shared" si="1"/>
        <v>ET</v>
      </c>
    </row>
    <row r="71" spans="3:4">
      <c r="C71" s="7" t="s">
        <v>254</v>
      </c>
      <c r="D71" t="str">
        <f t="shared" si="1"/>
        <v>FI</v>
      </c>
    </row>
    <row r="72" spans="3:4">
      <c r="C72" s="7" t="s">
        <v>255</v>
      </c>
      <c r="D72" t="str">
        <f t="shared" si="1"/>
        <v>FJ</v>
      </c>
    </row>
    <row r="73" spans="3:4">
      <c r="C73" s="7" t="s">
        <v>256</v>
      </c>
      <c r="D73" t="str">
        <f t="shared" si="1"/>
        <v>FK</v>
      </c>
    </row>
    <row r="74" spans="3:4">
      <c r="C74" s="7" t="s">
        <v>257</v>
      </c>
      <c r="D74" t="str">
        <f t="shared" si="1"/>
        <v>FM</v>
      </c>
    </row>
    <row r="75" spans="3:4">
      <c r="C75" s="7" t="s">
        <v>258</v>
      </c>
      <c r="D75" t="str">
        <f t="shared" si="1"/>
        <v>FO</v>
      </c>
    </row>
    <row r="76" spans="3:4">
      <c r="C76" s="7" t="s">
        <v>259</v>
      </c>
      <c r="D76" t="str">
        <f t="shared" si="1"/>
        <v>FR</v>
      </c>
    </row>
    <row r="77" spans="3:4">
      <c r="C77" s="7" t="s">
        <v>260</v>
      </c>
      <c r="D77" t="str">
        <f t="shared" si="1"/>
        <v>GA</v>
      </c>
    </row>
    <row r="78" spans="3:4">
      <c r="C78" s="7" t="s">
        <v>261</v>
      </c>
      <c r="D78" t="str">
        <f t="shared" si="1"/>
        <v>GB</v>
      </c>
    </row>
    <row r="79" spans="3:4">
      <c r="C79" s="7" t="s">
        <v>262</v>
      </c>
      <c r="D79" t="str">
        <f t="shared" si="1"/>
        <v>GD</v>
      </c>
    </row>
    <row r="80" spans="3:4">
      <c r="C80" s="7" t="s">
        <v>263</v>
      </c>
      <c r="D80" t="str">
        <f t="shared" si="1"/>
        <v>GE</v>
      </c>
    </row>
    <row r="81" spans="3:4">
      <c r="C81" s="7" t="s">
        <v>264</v>
      </c>
      <c r="D81" t="str">
        <f t="shared" si="1"/>
        <v>GF</v>
      </c>
    </row>
    <row r="82" spans="3:4">
      <c r="C82" s="7" t="s">
        <v>265</v>
      </c>
      <c r="D82" t="str">
        <f t="shared" si="1"/>
        <v>GG</v>
      </c>
    </row>
    <row r="83" spans="3:4">
      <c r="C83" s="7" t="s">
        <v>266</v>
      </c>
      <c r="D83" t="str">
        <f t="shared" si="1"/>
        <v>GH</v>
      </c>
    </row>
    <row r="84" spans="3:4">
      <c r="C84" s="7" t="s">
        <v>267</v>
      </c>
      <c r="D84" t="str">
        <f t="shared" si="1"/>
        <v>GI</v>
      </c>
    </row>
    <row r="85" spans="3:4">
      <c r="C85" s="7" t="s">
        <v>268</v>
      </c>
      <c r="D85" t="str">
        <f t="shared" si="1"/>
        <v>GL</v>
      </c>
    </row>
    <row r="86" spans="3:4">
      <c r="C86" s="7" t="s">
        <v>269</v>
      </c>
      <c r="D86" t="str">
        <f t="shared" si="1"/>
        <v>GM</v>
      </c>
    </row>
    <row r="87" spans="3:4">
      <c r="C87" s="7" t="s">
        <v>270</v>
      </c>
      <c r="D87" t="str">
        <f t="shared" si="1"/>
        <v>GN</v>
      </c>
    </row>
    <row r="88" spans="3:4">
      <c r="C88" s="7" t="s">
        <v>271</v>
      </c>
      <c r="D88" t="str">
        <f t="shared" si="1"/>
        <v>GP</v>
      </c>
    </row>
    <row r="89" spans="3:4">
      <c r="C89" s="7" t="s">
        <v>272</v>
      </c>
      <c r="D89" t="str">
        <f t="shared" si="1"/>
        <v>GQ</v>
      </c>
    </row>
    <row r="90" spans="3:4">
      <c r="C90" s="7" t="s">
        <v>273</v>
      </c>
      <c r="D90" t="str">
        <f t="shared" si="1"/>
        <v>GR</v>
      </c>
    </row>
    <row r="91" spans="3:4">
      <c r="C91" s="7" t="s">
        <v>274</v>
      </c>
      <c r="D91" t="str">
        <f t="shared" si="1"/>
        <v>GS</v>
      </c>
    </row>
    <row r="92" spans="3:4">
      <c r="C92" s="7" t="s">
        <v>275</v>
      </c>
      <c r="D92" t="str">
        <f t="shared" si="1"/>
        <v>GT</v>
      </c>
    </row>
    <row r="93" spans="3:4">
      <c r="C93" s="7" t="s">
        <v>276</v>
      </c>
      <c r="D93" t="str">
        <f t="shared" si="1"/>
        <v>GU</v>
      </c>
    </row>
    <row r="94" spans="3:4">
      <c r="C94" s="7" t="s">
        <v>277</v>
      </c>
      <c r="D94" t="str">
        <f t="shared" si="1"/>
        <v>GW</v>
      </c>
    </row>
    <row r="95" spans="3:4">
      <c r="C95" s="7" t="s">
        <v>278</v>
      </c>
      <c r="D95" t="str">
        <f t="shared" si="1"/>
        <v>GY</v>
      </c>
    </row>
    <row r="96" spans="3:4">
      <c r="C96" s="7" t="s">
        <v>279</v>
      </c>
      <c r="D96" t="str">
        <f t="shared" si="1"/>
        <v>HK</v>
      </c>
    </row>
    <row r="97" spans="3:4">
      <c r="C97" s="7" t="s">
        <v>280</v>
      </c>
      <c r="D97" t="str">
        <f t="shared" si="1"/>
        <v>HM</v>
      </c>
    </row>
    <row r="98" spans="3:4">
      <c r="C98" s="7" t="s">
        <v>281</v>
      </c>
      <c r="D98" t="str">
        <f t="shared" si="1"/>
        <v>HN</v>
      </c>
    </row>
    <row r="99" spans="3:4">
      <c r="C99" s="7" t="s">
        <v>282</v>
      </c>
      <c r="D99" t="str">
        <f t="shared" si="1"/>
        <v>HR</v>
      </c>
    </row>
    <row r="100" spans="3:4">
      <c r="C100" s="7" t="s">
        <v>283</v>
      </c>
      <c r="D100" t="str">
        <f t="shared" si="1"/>
        <v>HT</v>
      </c>
    </row>
    <row r="101" spans="3:4">
      <c r="C101" s="7" t="s">
        <v>284</v>
      </c>
      <c r="D101" t="str">
        <f t="shared" si="1"/>
        <v>HU</v>
      </c>
    </row>
    <row r="102" spans="3:4">
      <c r="C102" s="7" t="s">
        <v>285</v>
      </c>
      <c r="D102" t="str">
        <f t="shared" si="1"/>
        <v>ID</v>
      </c>
    </row>
    <row r="103" spans="3:4">
      <c r="C103" s="7" t="s">
        <v>286</v>
      </c>
      <c r="D103" t="str">
        <f t="shared" si="1"/>
        <v>IE</v>
      </c>
    </row>
    <row r="104" spans="3:4">
      <c r="C104" s="7" t="s">
        <v>287</v>
      </c>
      <c r="D104" t="str">
        <f t="shared" si="1"/>
        <v>IL</v>
      </c>
    </row>
    <row r="105" spans="3:4">
      <c r="C105" s="7" t="s">
        <v>288</v>
      </c>
      <c r="D105" t="str">
        <f t="shared" si="1"/>
        <v>IM</v>
      </c>
    </row>
    <row r="106" spans="3:4">
      <c r="C106" s="7" t="s">
        <v>289</v>
      </c>
      <c r="D106" t="str">
        <f t="shared" si="1"/>
        <v>IN</v>
      </c>
    </row>
    <row r="107" spans="3:4">
      <c r="C107" s="7" t="s">
        <v>290</v>
      </c>
      <c r="D107" t="str">
        <f t="shared" si="1"/>
        <v>IO</v>
      </c>
    </row>
    <row r="108" spans="3:4">
      <c r="C108" s="7" t="s">
        <v>291</v>
      </c>
      <c r="D108" t="str">
        <f t="shared" si="1"/>
        <v>IQ</v>
      </c>
    </row>
    <row r="109" spans="3:4">
      <c r="C109" s="7" t="s">
        <v>292</v>
      </c>
      <c r="D109" t="str">
        <f t="shared" si="1"/>
        <v>IR</v>
      </c>
    </row>
    <row r="110" spans="3:4">
      <c r="C110" s="7" t="s">
        <v>293</v>
      </c>
      <c r="D110" t="str">
        <f t="shared" si="1"/>
        <v>IS</v>
      </c>
    </row>
    <row r="111" spans="3:4">
      <c r="C111" s="7" t="s">
        <v>294</v>
      </c>
      <c r="D111" t="str">
        <f t="shared" si="1"/>
        <v>IT</v>
      </c>
    </row>
    <row r="112" spans="3:4">
      <c r="C112" s="7" t="s">
        <v>295</v>
      </c>
      <c r="D112" t="str">
        <f t="shared" si="1"/>
        <v>JE</v>
      </c>
    </row>
    <row r="113" spans="3:4">
      <c r="C113" s="7" t="s">
        <v>296</v>
      </c>
      <c r="D113" t="str">
        <f t="shared" si="1"/>
        <v>JM</v>
      </c>
    </row>
    <row r="114" spans="3:4">
      <c r="C114" s="7" t="s">
        <v>297</v>
      </c>
      <c r="D114" t="str">
        <f t="shared" si="1"/>
        <v>JO</v>
      </c>
    </row>
    <row r="115" spans="3:4">
      <c r="C115" s="7" t="s">
        <v>298</v>
      </c>
      <c r="D115" t="str">
        <f t="shared" si="1"/>
        <v>JP</v>
      </c>
    </row>
    <row r="116" spans="3:4">
      <c r="C116" s="7" t="s">
        <v>299</v>
      </c>
      <c r="D116" t="str">
        <f t="shared" si="1"/>
        <v>KE</v>
      </c>
    </row>
    <row r="117" spans="3:4">
      <c r="C117" s="7" t="s">
        <v>300</v>
      </c>
      <c r="D117" t="str">
        <f t="shared" si="1"/>
        <v>KG</v>
      </c>
    </row>
    <row r="118" spans="3:4">
      <c r="C118" s="7" t="s">
        <v>301</v>
      </c>
      <c r="D118" t="str">
        <f t="shared" si="1"/>
        <v>KH</v>
      </c>
    </row>
    <row r="119" spans="3:4">
      <c r="C119" s="7" t="s">
        <v>302</v>
      </c>
      <c r="D119" t="str">
        <f t="shared" si="1"/>
        <v>KI</v>
      </c>
    </row>
    <row r="120" spans="3:4">
      <c r="C120" s="7" t="s">
        <v>303</v>
      </c>
      <c r="D120" t="str">
        <f t="shared" si="1"/>
        <v>KM</v>
      </c>
    </row>
    <row r="121" spans="3:4">
      <c r="C121" s="7" t="s">
        <v>304</v>
      </c>
      <c r="D121" t="str">
        <f t="shared" si="1"/>
        <v>KN</v>
      </c>
    </row>
    <row r="122" spans="3:4">
      <c r="C122" s="7" t="s">
        <v>305</v>
      </c>
      <c r="D122" t="str">
        <f t="shared" si="1"/>
        <v>KP</v>
      </c>
    </row>
    <row r="123" spans="3:4">
      <c r="C123" s="7" t="s">
        <v>306</v>
      </c>
      <c r="D123" t="str">
        <f t="shared" si="1"/>
        <v>KR</v>
      </c>
    </row>
    <row r="124" spans="3:4">
      <c r="C124" s="7" t="s">
        <v>307</v>
      </c>
      <c r="D124" t="str">
        <f t="shared" si="1"/>
        <v>KW</v>
      </c>
    </row>
    <row r="125" spans="3:4">
      <c r="C125" s="7" t="s">
        <v>308</v>
      </c>
      <c r="D125" t="str">
        <f t="shared" si="1"/>
        <v>KY</v>
      </c>
    </row>
    <row r="126" spans="3:4">
      <c r="C126" s="7" t="s">
        <v>309</v>
      </c>
      <c r="D126" t="str">
        <f t="shared" si="1"/>
        <v>KZ</v>
      </c>
    </row>
    <row r="127" spans="3:4">
      <c r="C127" s="7" t="s">
        <v>310</v>
      </c>
      <c r="D127" t="str">
        <f t="shared" si="1"/>
        <v>LA</v>
      </c>
    </row>
    <row r="128" spans="3:4">
      <c r="C128" s="7" t="s">
        <v>311</v>
      </c>
      <c r="D128" t="str">
        <f t="shared" si="1"/>
        <v>LB</v>
      </c>
    </row>
    <row r="129" spans="3:4">
      <c r="C129" s="7" t="s">
        <v>312</v>
      </c>
      <c r="D129" t="str">
        <f t="shared" si="1"/>
        <v>LC</v>
      </c>
    </row>
    <row r="130" spans="3:4">
      <c r="C130" s="7" t="s">
        <v>313</v>
      </c>
      <c r="D130" t="str">
        <f t="shared" si="1"/>
        <v>LI</v>
      </c>
    </row>
    <row r="131" spans="3:4">
      <c r="C131" s="7" t="s">
        <v>314</v>
      </c>
      <c r="D131" t="str">
        <f t="shared" ref="D131:D194" si="2">LEFT(C131,2)</f>
        <v>LK</v>
      </c>
    </row>
    <row r="132" spans="3:4">
      <c r="C132" s="7" t="s">
        <v>315</v>
      </c>
      <c r="D132" t="str">
        <f t="shared" si="2"/>
        <v>LR</v>
      </c>
    </row>
    <row r="133" spans="3:4">
      <c r="C133" s="7" t="s">
        <v>316</v>
      </c>
      <c r="D133" t="str">
        <f t="shared" si="2"/>
        <v>LS</v>
      </c>
    </row>
    <row r="134" spans="3:4">
      <c r="C134" s="7" t="s">
        <v>317</v>
      </c>
      <c r="D134" t="str">
        <f t="shared" si="2"/>
        <v>LT</v>
      </c>
    </row>
    <row r="135" spans="3:4">
      <c r="C135" s="7" t="s">
        <v>318</v>
      </c>
      <c r="D135" t="str">
        <f t="shared" si="2"/>
        <v>LU</v>
      </c>
    </row>
    <row r="136" spans="3:4">
      <c r="C136" s="7" t="s">
        <v>319</v>
      </c>
      <c r="D136" t="str">
        <f t="shared" si="2"/>
        <v>LV</v>
      </c>
    </row>
    <row r="137" spans="3:4">
      <c r="C137" s="7" t="s">
        <v>320</v>
      </c>
      <c r="D137" t="str">
        <f t="shared" si="2"/>
        <v>LY</v>
      </c>
    </row>
    <row r="138" spans="3:4">
      <c r="C138" s="7" t="s">
        <v>321</v>
      </c>
      <c r="D138" t="str">
        <f t="shared" si="2"/>
        <v>MA</v>
      </c>
    </row>
    <row r="139" spans="3:4">
      <c r="C139" s="7" t="s">
        <v>322</v>
      </c>
      <c r="D139" t="str">
        <f t="shared" si="2"/>
        <v>MC</v>
      </c>
    </row>
    <row r="140" spans="3:4">
      <c r="C140" s="7" t="s">
        <v>323</v>
      </c>
      <c r="D140" t="str">
        <f t="shared" si="2"/>
        <v>MD</v>
      </c>
    </row>
    <row r="141" spans="3:4">
      <c r="C141" s="7" t="s">
        <v>324</v>
      </c>
      <c r="D141" t="str">
        <f t="shared" si="2"/>
        <v>ME</v>
      </c>
    </row>
    <row r="142" spans="3:4">
      <c r="C142" s="7" t="s">
        <v>325</v>
      </c>
      <c r="D142" t="str">
        <f t="shared" si="2"/>
        <v>MF</v>
      </c>
    </row>
    <row r="143" spans="3:4">
      <c r="C143" s="7" t="s">
        <v>326</v>
      </c>
      <c r="D143" t="str">
        <f t="shared" si="2"/>
        <v>MG</v>
      </c>
    </row>
    <row r="144" spans="3:4">
      <c r="C144" s="7" t="s">
        <v>327</v>
      </c>
      <c r="D144" t="str">
        <f t="shared" si="2"/>
        <v>MH</v>
      </c>
    </row>
    <row r="145" spans="3:4">
      <c r="C145" s="7" t="s">
        <v>328</v>
      </c>
      <c r="D145" t="str">
        <f t="shared" si="2"/>
        <v>MK</v>
      </c>
    </row>
    <row r="146" spans="3:4">
      <c r="C146" s="7" t="s">
        <v>329</v>
      </c>
      <c r="D146" t="str">
        <f t="shared" si="2"/>
        <v>ML</v>
      </c>
    </row>
    <row r="147" spans="3:4">
      <c r="C147" s="7" t="s">
        <v>330</v>
      </c>
      <c r="D147" t="str">
        <f t="shared" si="2"/>
        <v>MM</v>
      </c>
    </row>
    <row r="148" spans="3:4">
      <c r="C148" s="7" t="s">
        <v>331</v>
      </c>
      <c r="D148" t="str">
        <f t="shared" si="2"/>
        <v>MN</v>
      </c>
    </row>
    <row r="149" spans="3:4">
      <c r="C149" s="7" t="s">
        <v>332</v>
      </c>
      <c r="D149" t="str">
        <f t="shared" si="2"/>
        <v>MO</v>
      </c>
    </row>
    <row r="150" spans="3:4">
      <c r="C150" s="7" t="s">
        <v>333</v>
      </c>
      <c r="D150" t="str">
        <f t="shared" si="2"/>
        <v>MP</v>
      </c>
    </row>
    <row r="151" spans="3:4">
      <c r="C151" s="7" t="s">
        <v>334</v>
      </c>
      <c r="D151" t="str">
        <f t="shared" si="2"/>
        <v>MQ</v>
      </c>
    </row>
    <row r="152" spans="3:4">
      <c r="C152" s="7" t="s">
        <v>335</v>
      </c>
      <c r="D152" t="str">
        <f t="shared" si="2"/>
        <v>MR</v>
      </c>
    </row>
    <row r="153" spans="3:4">
      <c r="C153" s="7" t="s">
        <v>336</v>
      </c>
      <c r="D153" t="str">
        <f t="shared" si="2"/>
        <v>MS</v>
      </c>
    </row>
    <row r="154" spans="3:4">
      <c r="C154" s="7" t="s">
        <v>337</v>
      </c>
      <c r="D154" t="str">
        <f t="shared" si="2"/>
        <v>MT</v>
      </c>
    </row>
    <row r="155" spans="3:4">
      <c r="C155" s="7" t="s">
        <v>338</v>
      </c>
      <c r="D155" t="str">
        <f t="shared" si="2"/>
        <v>MU</v>
      </c>
    </row>
    <row r="156" spans="3:4">
      <c r="C156" s="7" t="s">
        <v>339</v>
      </c>
      <c r="D156" t="str">
        <f t="shared" si="2"/>
        <v>MV</v>
      </c>
    </row>
    <row r="157" spans="3:4">
      <c r="C157" s="7" t="s">
        <v>340</v>
      </c>
      <c r="D157" t="str">
        <f t="shared" si="2"/>
        <v>MW</v>
      </c>
    </row>
    <row r="158" spans="3:4">
      <c r="C158" s="7" t="s">
        <v>341</v>
      </c>
      <c r="D158" t="str">
        <f t="shared" si="2"/>
        <v>MX</v>
      </c>
    </row>
    <row r="159" spans="3:4">
      <c r="C159" s="7" t="s">
        <v>342</v>
      </c>
      <c r="D159" t="str">
        <f t="shared" si="2"/>
        <v>MY</v>
      </c>
    </row>
    <row r="160" spans="3:4">
      <c r="C160" s="7" t="s">
        <v>343</v>
      </c>
      <c r="D160" t="str">
        <f t="shared" si="2"/>
        <v>MZ</v>
      </c>
    </row>
    <row r="161" spans="3:4">
      <c r="C161" s="7" t="s">
        <v>344</v>
      </c>
      <c r="D161" t="str">
        <f t="shared" si="2"/>
        <v>NA</v>
      </c>
    </row>
    <row r="162" spans="3:4">
      <c r="C162" s="7" t="s">
        <v>345</v>
      </c>
      <c r="D162" t="str">
        <f t="shared" si="2"/>
        <v>NC</v>
      </c>
    </row>
    <row r="163" spans="3:4">
      <c r="C163" s="7" t="s">
        <v>346</v>
      </c>
      <c r="D163" t="str">
        <f t="shared" si="2"/>
        <v>NE</v>
      </c>
    </row>
    <row r="164" spans="3:4">
      <c r="C164" s="7" t="s">
        <v>347</v>
      </c>
      <c r="D164" t="str">
        <f t="shared" si="2"/>
        <v>NF</v>
      </c>
    </row>
    <row r="165" spans="3:4">
      <c r="C165" s="7" t="s">
        <v>348</v>
      </c>
      <c r="D165" t="str">
        <f t="shared" si="2"/>
        <v>NG</v>
      </c>
    </row>
    <row r="166" spans="3:4">
      <c r="C166" s="7" t="s">
        <v>349</v>
      </c>
      <c r="D166" t="str">
        <f t="shared" si="2"/>
        <v>NI</v>
      </c>
    </row>
    <row r="167" spans="3:4">
      <c r="C167" s="7" t="s">
        <v>350</v>
      </c>
      <c r="D167" t="str">
        <f t="shared" si="2"/>
        <v>NL</v>
      </c>
    </row>
    <row r="168" spans="3:4">
      <c r="C168" s="7" t="s">
        <v>351</v>
      </c>
      <c r="D168" t="str">
        <f t="shared" si="2"/>
        <v>NO</v>
      </c>
    </row>
    <row r="169" spans="3:4">
      <c r="C169" s="7" t="s">
        <v>352</v>
      </c>
      <c r="D169" t="str">
        <f t="shared" si="2"/>
        <v>NP</v>
      </c>
    </row>
    <row r="170" spans="3:4">
      <c r="C170" s="7" t="s">
        <v>353</v>
      </c>
      <c r="D170" t="str">
        <f t="shared" si="2"/>
        <v>NR</v>
      </c>
    </row>
    <row r="171" spans="3:4">
      <c r="C171" s="7" t="s">
        <v>354</v>
      </c>
      <c r="D171" t="str">
        <f t="shared" si="2"/>
        <v>NU</v>
      </c>
    </row>
    <row r="172" spans="3:4">
      <c r="C172" s="7" t="s">
        <v>355</v>
      </c>
      <c r="D172" t="str">
        <f t="shared" si="2"/>
        <v>NZ</v>
      </c>
    </row>
    <row r="173" spans="3:4">
      <c r="C173" s="7" t="s">
        <v>356</v>
      </c>
      <c r="D173" t="str">
        <f t="shared" si="2"/>
        <v>OM</v>
      </c>
    </row>
    <row r="174" spans="3:4">
      <c r="C174" s="7" t="s">
        <v>357</v>
      </c>
      <c r="D174" t="str">
        <f t="shared" si="2"/>
        <v>PA</v>
      </c>
    </row>
    <row r="175" spans="3:4">
      <c r="C175" s="7" t="s">
        <v>358</v>
      </c>
      <c r="D175" t="str">
        <f t="shared" si="2"/>
        <v>PE</v>
      </c>
    </row>
    <row r="176" spans="3:4">
      <c r="C176" s="7" t="s">
        <v>359</v>
      </c>
      <c r="D176" t="str">
        <f t="shared" si="2"/>
        <v>PF</v>
      </c>
    </row>
    <row r="177" spans="3:4">
      <c r="C177" s="7" t="s">
        <v>360</v>
      </c>
      <c r="D177" t="str">
        <f t="shared" si="2"/>
        <v>PG</v>
      </c>
    </row>
    <row r="178" spans="3:4">
      <c r="C178" s="7" t="s">
        <v>361</v>
      </c>
      <c r="D178" t="str">
        <f t="shared" si="2"/>
        <v>PH</v>
      </c>
    </row>
    <row r="179" spans="3:4">
      <c r="C179" s="7" t="s">
        <v>362</v>
      </c>
      <c r="D179" t="str">
        <f t="shared" si="2"/>
        <v>PK</v>
      </c>
    </row>
    <row r="180" spans="3:4">
      <c r="C180" s="7" t="s">
        <v>363</v>
      </c>
      <c r="D180" t="str">
        <f t="shared" si="2"/>
        <v>PL</v>
      </c>
    </row>
    <row r="181" spans="3:4">
      <c r="C181" s="7" t="s">
        <v>364</v>
      </c>
      <c r="D181" t="str">
        <f t="shared" si="2"/>
        <v>PM</v>
      </c>
    </row>
    <row r="182" spans="3:4">
      <c r="C182" s="7" t="s">
        <v>365</v>
      </c>
      <c r="D182" t="str">
        <f t="shared" si="2"/>
        <v>PN</v>
      </c>
    </row>
    <row r="183" spans="3:4">
      <c r="C183" s="7" t="s">
        <v>366</v>
      </c>
      <c r="D183" t="str">
        <f t="shared" si="2"/>
        <v>PR</v>
      </c>
    </row>
    <row r="184" spans="3:4">
      <c r="C184" s="7" t="s">
        <v>367</v>
      </c>
      <c r="D184" t="str">
        <f t="shared" si="2"/>
        <v>PS</v>
      </c>
    </row>
    <row r="185" spans="3:4">
      <c r="C185" s="7" t="s">
        <v>368</v>
      </c>
      <c r="D185" t="str">
        <f t="shared" si="2"/>
        <v>PT</v>
      </c>
    </row>
    <row r="186" spans="3:4">
      <c r="C186" s="7" t="s">
        <v>369</v>
      </c>
      <c r="D186" t="str">
        <f t="shared" si="2"/>
        <v>PW</v>
      </c>
    </row>
    <row r="187" spans="3:4">
      <c r="C187" s="7" t="s">
        <v>370</v>
      </c>
      <c r="D187" t="str">
        <f t="shared" si="2"/>
        <v>PY</v>
      </c>
    </row>
    <row r="188" spans="3:4">
      <c r="C188" s="7" t="s">
        <v>371</v>
      </c>
      <c r="D188" t="str">
        <f t="shared" si="2"/>
        <v>QA</v>
      </c>
    </row>
    <row r="189" spans="3:4">
      <c r="C189" s="7" t="s">
        <v>372</v>
      </c>
      <c r="D189" t="str">
        <f t="shared" si="2"/>
        <v>RE</v>
      </c>
    </row>
    <row r="190" spans="3:4">
      <c r="C190" s="7" t="s">
        <v>373</v>
      </c>
      <c r="D190" t="str">
        <f t="shared" si="2"/>
        <v>RO</v>
      </c>
    </row>
    <row r="191" spans="3:4">
      <c r="C191" s="7" t="s">
        <v>374</v>
      </c>
      <c r="D191" t="str">
        <f t="shared" si="2"/>
        <v>RS</v>
      </c>
    </row>
    <row r="192" spans="3:4">
      <c r="C192" s="7" t="s">
        <v>375</v>
      </c>
      <c r="D192" t="str">
        <f t="shared" si="2"/>
        <v>RU</v>
      </c>
    </row>
    <row r="193" spans="3:4">
      <c r="C193" s="7" t="s">
        <v>376</v>
      </c>
      <c r="D193" t="str">
        <f t="shared" si="2"/>
        <v>RW</v>
      </c>
    </row>
    <row r="194" spans="3:4">
      <c r="C194" s="7" t="s">
        <v>377</v>
      </c>
      <c r="D194" t="str">
        <f t="shared" si="2"/>
        <v>SA</v>
      </c>
    </row>
    <row r="195" spans="3:4">
      <c r="C195" s="7" t="s">
        <v>378</v>
      </c>
      <c r="D195" t="str">
        <f t="shared" ref="D195:D250" si="3">LEFT(C195,2)</f>
        <v>SB</v>
      </c>
    </row>
    <row r="196" spans="3:4">
      <c r="C196" s="7" t="s">
        <v>379</v>
      </c>
      <c r="D196" t="str">
        <f t="shared" si="3"/>
        <v>SC</v>
      </c>
    </row>
    <row r="197" spans="3:4">
      <c r="C197" s="7" t="s">
        <v>380</v>
      </c>
      <c r="D197" t="str">
        <f t="shared" si="3"/>
        <v>SD</v>
      </c>
    </row>
    <row r="198" spans="3:4">
      <c r="C198" s="7" t="s">
        <v>381</v>
      </c>
      <c r="D198" t="str">
        <f t="shared" si="3"/>
        <v>SE</v>
      </c>
    </row>
    <row r="199" spans="3:4">
      <c r="C199" s="7" t="s">
        <v>19</v>
      </c>
      <c r="D199" t="str">
        <f t="shared" si="3"/>
        <v>SG</v>
      </c>
    </row>
    <row r="200" spans="3:4">
      <c r="C200" s="7" t="s">
        <v>382</v>
      </c>
      <c r="D200" t="str">
        <f t="shared" si="3"/>
        <v>SH</v>
      </c>
    </row>
    <row r="201" spans="3:4">
      <c r="C201" s="7" t="s">
        <v>383</v>
      </c>
      <c r="D201" t="str">
        <f t="shared" si="3"/>
        <v>SI</v>
      </c>
    </row>
    <row r="202" spans="3:4">
      <c r="C202" s="7" t="s">
        <v>384</v>
      </c>
      <c r="D202" t="str">
        <f t="shared" si="3"/>
        <v>SJ</v>
      </c>
    </row>
    <row r="203" spans="3:4">
      <c r="C203" s="7" t="s">
        <v>385</v>
      </c>
      <c r="D203" t="str">
        <f t="shared" si="3"/>
        <v>SK</v>
      </c>
    </row>
    <row r="204" spans="3:4">
      <c r="C204" s="7" t="s">
        <v>386</v>
      </c>
      <c r="D204" t="str">
        <f t="shared" si="3"/>
        <v>SL</v>
      </c>
    </row>
    <row r="205" spans="3:4">
      <c r="C205" s="7" t="s">
        <v>387</v>
      </c>
      <c r="D205" t="str">
        <f t="shared" si="3"/>
        <v>SM</v>
      </c>
    </row>
    <row r="206" spans="3:4">
      <c r="C206" s="7" t="s">
        <v>388</v>
      </c>
      <c r="D206" t="str">
        <f t="shared" si="3"/>
        <v>SN</v>
      </c>
    </row>
    <row r="207" spans="3:4">
      <c r="C207" s="7" t="s">
        <v>389</v>
      </c>
      <c r="D207" t="str">
        <f t="shared" si="3"/>
        <v>SO</v>
      </c>
    </row>
    <row r="208" spans="3:4">
      <c r="C208" s="7" t="s">
        <v>390</v>
      </c>
      <c r="D208" t="str">
        <f t="shared" si="3"/>
        <v>SR</v>
      </c>
    </row>
    <row r="209" spans="3:4">
      <c r="C209" s="7" t="s">
        <v>391</v>
      </c>
      <c r="D209" t="str">
        <f t="shared" si="3"/>
        <v>SS</v>
      </c>
    </row>
    <row r="210" spans="3:4">
      <c r="C210" s="7" t="s">
        <v>392</v>
      </c>
      <c r="D210" t="str">
        <f t="shared" si="3"/>
        <v>ST</v>
      </c>
    </row>
    <row r="211" spans="3:4">
      <c r="C211" s="7" t="s">
        <v>393</v>
      </c>
      <c r="D211" t="str">
        <f t="shared" si="3"/>
        <v>SV</v>
      </c>
    </row>
    <row r="212" spans="3:4">
      <c r="C212" s="7" t="s">
        <v>394</v>
      </c>
      <c r="D212" t="str">
        <f t="shared" si="3"/>
        <v>SX</v>
      </c>
    </row>
    <row r="213" spans="3:4">
      <c r="C213" s="7" t="s">
        <v>395</v>
      </c>
      <c r="D213" t="str">
        <f t="shared" si="3"/>
        <v>SY</v>
      </c>
    </row>
    <row r="214" spans="3:4">
      <c r="C214" s="7" t="s">
        <v>396</v>
      </c>
      <c r="D214" t="str">
        <f t="shared" si="3"/>
        <v>SZ</v>
      </c>
    </row>
    <row r="215" spans="3:4">
      <c r="C215" s="7" t="s">
        <v>397</v>
      </c>
      <c r="D215" t="str">
        <f t="shared" si="3"/>
        <v>TC</v>
      </c>
    </row>
    <row r="216" spans="3:4">
      <c r="C216" s="7" t="s">
        <v>398</v>
      </c>
      <c r="D216" t="str">
        <f t="shared" si="3"/>
        <v>TD</v>
      </c>
    </row>
    <row r="217" spans="3:4">
      <c r="C217" s="7" t="s">
        <v>399</v>
      </c>
      <c r="D217" t="str">
        <f t="shared" si="3"/>
        <v>TF</v>
      </c>
    </row>
    <row r="218" spans="3:4">
      <c r="C218" s="7" t="s">
        <v>400</v>
      </c>
      <c r="D218" t="str">
        <f t="shared" si="3"/>
        <v>TG</v>
      </c>
    </row>
    <row r="219" spans="3:4">
      <c r="C219" s="7" t="s">
        <v>401</v>
      </c>
      <c r="D219" t="str">
        <f t="shared" si="3"/>
        <v>TH</v>
      </c>
    </row>
    <row r="220" spans="3:4">
      <c r="C220" s="7" t="s">
        <v>402</v>
      </c>
      <c r="D220" t="str">
        <f t="shared" si="3"/>
        <v>TJ</v>
      </c>
    </row>
    <row r="221" spans="3:4">
      <c r="C221" s="7" t="s">
        <v>403</v>
      </c>
      <c r="D221" t="str">
        <f t="shared" si="3"/>
        <v>TK</v>
      </c>
    </row>
    <row r="222" spans="3:4">
      <c r="C222" s="7" t="s">
        <v>404</v>
      </c>
      <c r="D222" t="str">
        <f t="shared" si="3"/>
        <v>TL</v>
      </c>
    </row>
    <row r="223" spans="3:4">
      <c r="C223" s="7" t="s">
        <v>405</v>
      </c>
      <c r="D223" t="str">
        <f t="shared" si="3"/>
        <v>TM</v>
      </c>
    </row>
    <row r="224" spans="3:4">
      <c r="C224" s="7" t="s">
        <v>406</v>
      </c>
      <c r="D224" t="str">
        <f t="shared" si="3"/>
        <v>TN</v>
      </c>
    </row>
    <row r="225" spans="3:4">
      <c r="C225" s="7" t="s">
        <v>407</v>
      </c>
      <c r="D225" t="str">
        <f t="shared" si="3"/>
        <v>TO</v>
      </c>
    </row>
    <row r="226" spans="3:4">
      <c r="C226" s="7" t="s">
        <v>408</v>
      </c>
      <c r="D226" t="str">
        <f t="shared" si="3"/>
        <v>TR</v>
      </c>
    </row>
    <row r="227" spans="3:4">
      <c r="C227" s="7" t="s">
        <v>409</v>
      </c>
      <c r="D227" t="str">
        <f t="shared" si="3"/>
        <v>TT</v>
      </c>
    </row>
    <row r="228" spans="3:4">
      <c r="C228" s="7" t="s">
        <v>410</v>
      </c>
      <c r="D228" t="str">
        <f t="shared" si="3"/>
        <v>TV</v>
      </c>
    </row>
    <row r="229" spans="3:4">
      <c r="C229" s="7" t="s">
        <v>411</v>
      </c>
      <c r="D229" t="str">
        <f t="shared" si="3"/>
        <v>TW</v>
      </c>
    </row>
    <row r="230" spans="3:4">
      <c r="C230" s="7" t="s">
        <v>412</v>
      </c>
      <c r="D230" t="str">
        <f t="shared" si="3"/>
        <v>TZ</v>
      </c>
    </row>
    <row r="231" spans="3:4">
      <c r="C231" s="7" t="s">
        <v>413</v>
      </c>
      <c r="D231" t="str">
        <f t="shared" si="3"/>
        <v>UA</v>
      </c>
    </row>
    <row r="232" spans="3:4">
      <c r="C232" s="7" t="s">
        <v>414</v>
      </c>
      <c r="D232" t="str">
        <f t="shared" si="3"/>
        <v>UG</v>
      </c>
    </row>
    <row r="233" spans="3:4">
      <c r="C233" s="7" t="s">
        <v>415</v>
      </c>
      <c r="D233" t="str">
        <f t="shared" si="3"/>
        <v>UM</v>
      </c>
    </row>
    <row r="234" spans="3:4">
      <c r="C234" s="7" t="s">
        <v>416</v>
      </c>
      <c r="D234" t="str">
        <f t="shared" si="3"/>
        <v>US</v>
      </c>
    </row>
    <row r="235" spans="3:4">
      <c r="C235" s="7" t="s">
        <v>417</v>
      </c>
      <c r="D235" t="str">
        <f t="shared" si="3"/>
        <v>UY</v>
      </c>
    </row>
    <row r="236" spans="3:4">
      <c r="C236" s="7" t="s">
        <v>418</v>
      </c>
      <c r="D236" t="str">
        <f t="shared" si="3"/>
        <v>UZ</v>
      </c>
    </row>
    <row r="237" spans="3:4">
      <c r="C237" s="7" t="s">
        <v>419</v>
      </c>
      <c r="D237" t="str">
        <f t="shared" si="3"/>
        <v>VA</v>
      </c>
    </row>
    <row r="238" spans="3:4">
      <c r="C238" s="7" t="s">
        <v>420</v>
      </c>
      <c r="D238" t="str">
        <f t="shared" si="3"/>
        <v>VC</v>
      </c>
    </row>
    <row r="239" spans="3:4">
      <c r="C239" s="7" t="s">
        <v>421</v>
      </c>
      <c r="D239" t="str">
        <f t="shared" si="3"/>
        <v>VE</v>
      </c>
    </row>
    <row r="240" spans="3:4">
      <c r="C240" s="7" t="s">
        <v>422</v>
      </c>
      <c r="D240" t="str">
        <f t="shared" si="3"/>
        <v>VG</v>
      </c>
    </row>
    <row r="241" spans="3:4">
      <c r="C241" s="7" t="s">
        <v>423</v>
      </c>
      <c r="D241" t="str">
        <f t="shared" si="3"/>
        <v>VI</v>
      </c>
    </row>
    <row r="242" spans="3:4">
      <c r="C242" s="7" t="s">
        <v>424</v>
      </c>
      <c r="D242" t="str">
        <f t="shared" si="3"/>
        <v>VN</v>
      </c>
    </row>
    <row r="243" spans="3:4">
      <c r="C243" s="7" t="s">
        <v>425</v>
      </c>
      <c r="D243" t="str">
        <f t="shared" si="3"/>
        <v>VU</v>
      </c>
    </row>
    <row r="244" spans="3:4">
      <c r="C244" s="7" t="s">
        <v>426</v>
      </c>
      <c r="D244" t="str">
        <f t="shared" si="3"/>
        <v>WF</v>
      </c>
    </row>
    <row r="245" spans="3:4">
      <c r="C245" s="7" t="s">
        <v>427</v>
      </c>
      <c r="D245" t="str">
        <f t="shared" si="3"/>
        <v>WS</v>
      </c>
    </row>
    <row r="246" spans="3:4">
      <c r="C246" s="7" t="s">
        <v>428</v>
      </c>
      <c r="D246" t="str">
        <f t="shared" si="3"/>
        <v>YE</v>
      </c>
    </row>
    <row r="247" spans="3:4">
      <c r="C247" s="7" t="s">
        <v>429</v>
      </c>
      <c r="D247" t="str">
        <f t="shared" si="3"/>
        <v>YT</v>
      </c>
    </row>
    <row r="248" spans="3:4">
      <c r="C248" s="7" t="s">
        <v>430</v>
      </c>
      <c r="D248" t="str">
        <f t="shared" si="3"/>
        <v>ZA</v>
      </c>
    </row>
    <row r="249" spans="3:4">
      <c r="C249" s="7" t="s">
        <v>431</v>
      </c>
      <c r="D249" t="str">
        <f t="shared" si="3"/>
        <v>ZM</v>
      </c>
    </row>
    <row r="250" spans="3:4">
      <c r="C250" s="7" t="s">
        <v>432</v>
      </c>
      <c r="D250" t="str">
        <f t="shared" si="3"/>
        <v>ZW</v>
      </c>
    </row>
  </sheetData>
  <sheetProtection algorithmName="SHA-512" hashValue="WHGXGoSA862KxMFTvxUMqI/SIIvvQCcmlElrldwD3jQHbDOZqjtm4el2PI8dMN+m8DuNXqmKwNyt3jNjhwJwUA==" saltValue="44rFdzKmXML7Ef00JzdcvQ==" spinCount="100000" sheet="1" objects="1" scenarios="1"/>
  <pageMargins left="0.7" right="0.7" top="0.75" bottom="0.75" header="0.3" footer="0.3"/>
  <pageSetup paperSize="9" orientation="portrait" horizontalDpi="200" verticalDpi="200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4"/>
  <sheetViews>
    <sheetView workbookViewId="0">
      <selection activeCell="E48" sqref="E48"/>
    </sheetView>
  </sheetViews>
  <sheetFormatPr defaultRowHeight="14.45"/>
  <cols>
    <col min="4" max="4" width="20.42578125" customWidth="1"/>
    <col min="5" max="5" width="14.85546875" customWidth="1"/>
    <col min="7" max="7" width="18" customWidth="1"/>
    <col min="8" max="8" width="16.85546875" customWidth="1"/>
    <col min="9" max="9" width="14.85546875" customWidth="1"/>
    <col min="12" max="12" width="20.28515625" customWidth="1"/>
    <col min="13" max="13" width="15.7109375" customWidth="1"/>
    <col min="14" max="14" width="16.140625" customWidth="1"/>
  </cols>
  <sheetData>
    <row r="1" spans="1:25">
      <c r="A1" s="1" t="s">
        <v>76</v>
      </c>
      <c r="B1" s="3"/>
      <c r="D1" s="1" t="s">
        <v>83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119</v>
      </c>
      <c r="K1" s="1" t="s">
        <v>192</v>
      </c>
      <c r="L1" s="1" t="s">
        <v>120</v>
      </c>
      <c r="M1" s="1" t="s">
        <v>121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155</v>
      </c>
      <c r="S1" s="1" t="s">
        <v>156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189</v>
      </c>
      <c r="Y1" s="1" t="s">
        <v>191</v>
      </c>
    </row>
    <row r="2" spans="1:25">
      <c r="A2" s="8" t="s">
        <v>142</v>
      </c>
      <c r="D2" t="s">
        <v>438</v>
      </c>
      <c r="E2" t="s">
        <v>439</v>
      </c>
      <c r="F2" t="s">
        <v>439</v>
      </c>
      <c r="G2" t="s">
        <v>440</v>
      </c>
      <c r="H2" t="s">
        <v>440</v>
      </c>
      <c r="I2" t="s">
        <v>440</v>
      </c>
      <c r="J2" t="s">
        <v>441</v>
      </c>
      <c r="K2" t="s">
        <v>441</v>
      </c>
      <c r="L2" t="s">
        <v>442</v>
      </c>
      <c r="M2" t="s">
        <v>443</v>
      </c>
      <c r="N2" t="s">
        <v>444</v>
      </c>
      <c r="O2" t="s">
        <v>445</v>
      </c>
      <c r="P2" t="s">
        <v>445</v>
      </c>
      <c r="Q2" t="s">
        <v>445</v>
      </c>
      <c r="R2" t="s">
        <v>445</v>
      </c>
      <c r="S2" t="s">
        <v>445</v>
      </c>
      <c r="T2" t="s">
        <v>441</v>
      </c>
      <c r="U2" t="s">
        <v>441</v>
      </c>
      <c r="V2" t="s">
        <v>446</v>
      </c>
      <c r="W2" t="s">
        <v>446</v>
      </c>
      <c r="X2" t="s">
        <v>441</v>
      </c>
      <c r="Y2" t="s">
        <v>447</v>
      </c>
    </row>
    <row r="3" spans="1:25">
      <c r="A3" s="8" t="s">
        <v>435</v>
      </c>
      <c r="D3" t="s">
        <v>448</v>
      </c>
      <c r="E3" t="s">
        <v>447</v>
      </c>
      <c r="F3" t="s">
        <v>447</v>
      </c>
      <c r="G3" t="s">
        <v>449</v>
      </c>
      <c r="H3" t="s">
        <v>450</v>
      </c>
      <c r="I3" t="s">
        <v>450</v>
      </c>
      <c r="J3" t="s">
        <v>445</v>
      </c>
      <c r="K3" t="s">
        <v>443</v>
      </c>
      <c r="L3" t="s">
        <v>445</v>
      </c>
      <c r="N3" t="s">
        <v>441</v>
      </c>
      <c r="O3" t="s">
        <v>451</v>
      </c>
      <c r="P3" t="s">
        <v>451</v>
      </c>
      <c r="Q3" t="s">
        <v>451</v>
      </c>
      <c r="R3" t="s">
        <v>451</v>
      </c>
      <c r="S3" t="s">
        <v>451</v>
      </c>
      <c r="T3" t="s">
        <v>444</v>
      </c>
      <c r="U3" t="s">
        <v>444</v>
      </c>
      <c r="V3" t="s">
        <v>439</v>
      </c>
      <c r="W3" t="s">
        <v>439</v>
      </c>
      <c r="X3" t="s">
        <v>452</v>
      </c>
      <c r="Y3" t="s">
        <v>443</v>
      </c>
    </row>
    <row r="4" spans="1:25">
      <c r="A4" s="8" t="s">
        <v>436</v>
      </c>
      <c r="D4" t="s">
        <v>445</v>
      </c>
      <c r="E4" t="s">
        <v>440</v>
      </c>
      <c r="F4" t="s">
        <v>440</v>
      </c>
      <c r="G4" t="s">
        <v>450</v>
      </c>
      <c r="H4" t="s">
        <v>449</v>
      </c>
      <c r="J4" t="s">
        <v>453</v>
      </c>
      <c r="K4" t="s">
        <v>453</v>
      </c>
      <c r="L4" t="s">
        <v>453</v>
      </c>
      <c r="N4" t="s">
        <v>445</v>
      </c>
      <c r="T4" t="s">
        <v>454</v>
      </c>
      <c r="U4" t="s">
        <v>445</v>
      </c>
      <c r="V4" t="s">
        <v>443</v>
      </c>
      <c r="W4" t="s">
        <v>443</v>
      </c>
      <c r="X4" t="s">
        <v>455</v>
      </c>
      <c r="Y4" t="s">
        <v>451</v>
      </c>
    </row>
    <row r="5" spans="1:25">
      <c r="A5" s="8" t="s">
        <v>456</v>
      </c>
      <c r="D5" t="s">
        <v>444</v>
      </c>
      <c r="E5" t="s">
        <v>453</v>
      </c>
      <c r="F5" t="s">
        <v>453</v>
      </c>
      <c r="N5" t="s">
        <v>457</v>
      </c>
      <c r="T5" t="s">
        <v>458</v>
      </c>
      <c r="U5" t="s">
        <v>453</v>
      </c>
      <c r="V5" t="s">
        <v>459</v>
      </c>
      <c r="W5" t="s">
        <v>459</v>
      </c>
      <c r="X5" t="s">
        <v>451</v>
      </c>
    </row>
    <row r="6" spans="1:25">
      <c r="A6" s="8" t="s">
        <v>119</v>
      </c>
      <c r="U6" t="s">
        <v>460</v>
      </c>
      <c r="V6" t="s">
        <v>461</v>
      </c>
      <c r="W6" t="s">
        <v>461</v>
      </c>
    </row>
    <row r="7" spans="1:25">
      <c r="A7" s="8" t="s">
        <v>192</v>
      </c>
    </row>
    <row r="8" spans="1:25">
      <c r="A8" s="8" t="s">
        <v>143</v>
      </c>
    </row>
    <row r="9" spans="1:25">
      <c r="A9" s="8" t="s">
        <v>144</v>
      </c>
    </row>
    <row r="10" spans="1:25">
      <c r="A10" s="8" t="s">
        <v>145</v>
      </c>
    </row>
    <row r="11" spans="1:25">
      <c r="A11" s="8" t="s">
        <v>155</v>
      </c>
    </row>
    <row r="12" spans="1:25">
      <c r="A12" s="8" t="s">
        <v>156</v>
      </c>
    </row>
    <row r="13" spans="1:25">
      <c r="A13" s="8" t="s">
        <v>120</v>
      </c>
    </row>
    <row r="14" spans="1:25">
      <c r="A14" s="8" t="s">
        <v>83</v>
      </c>
    </row>
    <row r="15" spans="1:25">
      <c r="A15" s="8" t="s">
        <v>437</v>
      </c>
    </row>
    <row r="16" spans="1:25">
      <c r="A16" s="8" t="s">
        <v>191</v>
      </c>
    </row>
    <row r="17" spans="1:1">
      <c r="A17" s="8" t="s">
        <v>433</v>
      </c>
    </row>
    <row r="18" spans="1:1">
      <c r="A18" s="8" t="s">
        <v>434</v>
      </c>
    </row>
    <row r="19" spans="1:1">
      <c r="A19" s="8" t="s">
        <v>166</v>
      </c>
    </row>
    <row r="20" spans="1:1">
      <c r="A20" s="8" t="s">
        <v>167</v>
      </c>
    </row>
    <row r="21" spans="1:1">
      <c r="A21" s="8" t="s">
        <v>121</v>
      </c>
    </row>
    <row r="22" spans="1:1">
      <c r="A22" s="8" t="s">
        <v>189</v>
      </c>
    </row>
    <row r="23" spans="1:1">
      <c r="A23" s="8" t="s">
        <v>168</v>
      </c>
    </row>
    <row r="24" spans="1:1">
      <c r="A24" s="8" t="s">
        <v>169</v>
      </c>
    </row>
  </sheetData>
  <sheetProtection algorithmName="SHA-512" hashValue="ItJRdT6KrOTcEYQhqVtpO/dautK67e7M0QbzlrX8RyP/SeLLJc1ccW326uPaOaE/k5FnjxPX9YBZbDXlaDysXg==" saltValue="bUL7wtGb/cVhlEuFl5QUCQ==" spinCount="100000" sheet="1" objects="1" scenarios="1"/>
  <pageMargins left="0.7" right="0.7" top="0.75" bottom="0.75" header="0.3" footer="0.3"/>
  <pageSetup paperSize="9" orientation="portrait" horizontalDpi="200" verticalDpi="200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Caluwe, Charlotte</dc:creator>
  <cp:keywords/>
  <dc:description/>
  <cp:lastModifiedBy>Daniel Fang</cp:lastModifiedBy>
  <cp:revision/>
  <dcterms:created xsi:type="dcterms:W3CDTF">2017-05-16T11:19:11Z</dcterms:created>
  <dcterms:modified xsi:type="dcterms:W3CDTF">2026-07-22T10:10:08Z</dcterms:modified>
  <cp:category/>
  <cp:contentStatus/>
</cp:coreProperties>
</file>